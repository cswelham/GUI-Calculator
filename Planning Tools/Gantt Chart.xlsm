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mputer Science\Calculator\Planning Tools\"/>
    </mc:Choice>
  </mc:AlternateContent>
  <bookViews>
    <workbookView xWindow="390" yWindow="435" windowWidth="6075" windowHeight="3915" tabRatio="501" activeTab="4"/>
  </bookViews>
  <sheets>
    <sheet name="Task list" sheetId="13" r:id="rId1"/>
    <sheet name="Main planner sheet" sheetId="2" r:id="rId2"/>
    <sheet name="Action Plan" sheetId="15" r:id="rId3"/>
    <sheet name="Gantt Chart" sheetId="12" r:id="rId4"/>
    <sheet name="GanttChart2" sheetId="16" r:id="rId5"/>
  </sheets>
  <calcPr calcId="162913"/>
</workbook>
</file>

<file path=xl/calcChain.xml><?xml version="1.0" encoding="utf-8"?>
<calcChain xmlns="http://schemas.openxmlformats.org/spreadsheetml/2006/main">
  <c r="A24" i="16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2" i="2" l="1"/>
  <c r="A21" i="2"/>
  <c r="A20" i="2"/>
  <c r="A19" i="2"/>
  <c r="A18" i="2"/>
  <c r="A17" i="2"/>
  <c r="A4" i="2" l="1"/>
  <c r="A3" i="2" l="1"/>
  <c r="A5" i="2"/>
  <c r="A6" i="2"/>
  <c r="A7" i="2"/>
  <c r="A8" i="2"/>
  <c r="A9" i="2"/>
  <c r="A10" i="2"/>
  <c r="A11" i="2"/>
  <c r="A12" i="2"/>
  <c r="A13" i="2"/>
  <c r="A14" i="2"/>
  <c r="A15" i="2"/>
  <c r="A16" i="2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 l="1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23" i="2"/>
  <c r="A24" i="2"/>
  <c r="A25" i="2"/>
  <c r="A26" i="2"/>
  <c r="A27" i="2"/>
  <c r="A28" i="2"/>
  <c r="A29" i="2"/>
  <c r="A30" i="2"/>
  <c r="A31" i="2"/>
  <c r="A32" i="2"/>
  <c r="A33" i="2"/>
  <c r="B3" i="15"/>
  <c r="D3" i="2"/>
  <c r="E3" i="2" l="1"/>
  <c r="B4" i="2"/>
  <c r="C3" i="15"/>
  <c r="D4" i="2" l="1"/>
  <c r="B4" i="15"/>
  <c r="C4" i="15" l="1"/>
  <c r="B5" i="2"/>
  <c r="D5" i="2" s="1"/>
  <c r="E4" i="2"/>
  <c r="C5" i="15" l="1"/>
  <c r="B6" i="2"/>
  <c r="B5" i="15"/>
  <c r="E5" i="2"/>
  <c r="D6" i="2" l="1"/>
  <c r="B7" i="2" s="1"/>
  <c r="B6" i="15"/>
  <c r="C6" i="15" l="1"/>
  <c r="E6" i="2"/>
  <c r="D7" i="2" l="1"/>
  <c r="B8" i="2" s="1"/>
  <c r="B7" i="15"/>
  <c r="C7" i="15" l="1"/>
  <c r="E7" i="2"/>
  <c r="D8" i="2" l="1"/>
  <c r="B9" i="2" s="1"/>
  <c r="B8" i="15"/>
  <c r="C8" i="15" l="1"/>
  <c r="E8" i="2"/>
  <c r="D9" i="2" l="1"/>
  <c r="B10" i="2" s="1"/>
  <c r="B9" i="15"/>
  <c r="C9" i="15" l="1"/>
  <c r="E9" i="2"/>
  <c r="D10" i="2" l="1"/>
  <c r="B11" i="2" s="1"/>
  <c r="B10" i="15"/>
  <c r="C10" i="15" l="1"/>
  <c r="E10" i="2"/>
  <c r="D11" i="2" l="1"/>
  <c r="B12" i="2" s="1"/>
  <c r="B11" i="15"/>
  <c r="C11" i="15" l="1"/>
  <c r="E11" i="2"/>
  <c r="D12" i="2" l="1"/>
  <c r="B13" i="2" s="1"/>
  <c r="B12" i="15"/>
  <c r="C12" i="15" l="1"/>
  <c r="E12" i="2"/>
  <c r="D13" i="2" l="1"/>
  <c r="B14" i="2" s="1"/>
  <c r="B13" i="15"/>
  <c r="C13" i="15" l="1"/>
  <c r="E13" i="2"/>
  <c r="D14" i="2" l="1"/>
  <c r="B15" i="2" s="1"/>
  <c r="B14" i="15"/>
  <c r="C14" i="15" l="1"/>
  <c r="E14" i="2"/>
  <c r="D15" i="2" l="1"/>
  <c r="B16" i="2" s="1"/>
  <c r="B15" i="15"/>
  <c r="C15" i="15" l="1"/>
  <c r="E15" i="2"/>
  <c r="D16" i="2" l="1"/>
  <c r="B17" i="2" s="1"/>
  <c r="B16" i="15"/>
  <c r="C16" i="15" l="1"/>
  <c r="E16" i="2"/>
  <c r="D17" i="2" l="1"/>
  <c r="B18" i="2" s="1"/>
  <c r="B17" i="15"/>
  <c r="C17" i="15" l="1"/>
  <c r="E17" i="2"/>
  <c r="D18" i="2" l="1"/>
  <c r="B19" i="2" s="1"/>
  <c r="B18" i="15"/>
  <c r="C18" i="15" l="1"/>
  <c r="E18" i="2"/>
  <c r="D19" i="2" l="1"/>
  <c r="B20" i="2" s="1"/>
  <c r="B19" i="15"/>
  <c r="C19" i="15" l="1"/>
  <c r="E19" i="2"/>
  <c r="D20" i="2" l="1"/>
  <c r="B21" i="2" s="1"/>
  <c r="B20" i="15"/>
  <c r="C20" i="15" l="1"/>
  <c r="E20" i="2"/>
  <c r="D21" i="2" l="1"/>
  <c r="B22" i="2" s="1"/>
  <c r="B21" i="15"/>
  <c r="C21" i="15" l="1"/>
  <c r="E21" i="2"/>
  <c r="D22" i="2" l="1"/>
  <c r="B23" i="2" s="1"/>
  <c r="B22" i="15"/>
  <c r="C22" i="15" l="1"/>
  <c r="E22" i="2"/>
  <c r="D23" i="2" l="1"/>
  <c r="B24" i="2" s="1"/>
  <c r="B23" i="15"/>
  <c r="C23" i="15" l="1"/>
  <c r="E23" i="2"/>
  <c r="D24" i="2" l="1"/>
  <c r="B25" i="2" s="1"/>
  <c r="B24" i="15"/>
  <c r="C24" i="15" l="1"/>
  <c r="E24" i="2"/>
  <c r="D25" i="2" l="1"/>
  <c r="B26" i="2" s="1"/>
  <c r="B25" i="15"/>
  <c r="C25" i="15" l="1"/>
  <c r="E25" i="2"/>
  <c r="D26" i="2" l="1"/>
  <c r="B27" i="2" s="1"/>
  <c r="B26" i="15"/>
  <c r="C26" i="15" l="1"/>
  <c r="E26" i="2"/>
  <c r="D27" i="2" l="1"/>
  <c r="B28" i="2" s="1"/>
  <c r="B27" i="15"/>
  <c r="C27" i="15" l="1"/>
  <c r="E27" i="2"/>
  <c r="D28" i="2" l="1"/>
  <c r="B29" i="2" s="1"/>
  <c r="B28" i="15"/>
  <c r="C28" i="15" l="1"/>
  <c r="E28" i="2"/>
  <c r="D29" i="2" l="1"/>
  <c r="B30" i="2" s="1"/>
  <c r="B29" i="15"/>
  <c r="C29" i="15" l="1"/>
  <c r="E29" i="2"/>
  <c r="D30" i="2" l="1"/>
  <c r="B31" i="2" s="1"/>
  <c r="B30" i="15"/>
  <c r="C30" i="15" l="1"/>
  <c r="E30" i="2"/>
  <c r="D31" i="2" l="1"/>
  <c r="B32" i="2" s="1"/>
  <c r="B31" i="15"/>
  <c r="C31" i="15" l="1"/>
  <c r="E31" i="2"/>
  <c r="D32" i="2" l="1"/>
  <c r="B33" i="2" s="1"/>
  <c r="B32" i="15"/>
  <c r="C32" i="15" l="1"/>
  <c r="E32" i="2"/>
  <c r="D33" i="2" l="1"/>
  <c r="B33" i="15"/>
  <c r="E33" i="2" l="1"/>
  <c r="C33" i="15"/>
</calcChain>
</file>

<file path=xl/sharedStrings.xml><?xml version="1.0" encoding="utf-8"?>
<sst xmlns="http://schemas.openxmlformats.org/spreadsheetml/2006/main" count="217" uniqueCount="62">
  <si>
    <t>Start Date</t>
  </si>
  <si>
    <t>Duration</t>
  </si>
  <si>
    <t>End Date</t>
  </si>
  <si>
    <t xml:space="preserve"> </t>
  </si>
  <si>
    <t>Range</t>
  </si>
  <si>
    <t>Project stage</t>
  </si>
  <si>
    <t>Whole project Plan</t>
  </si>
  <si>
    <t>Resource Plan</t>
  </si>
  <si>
    <t>-</t>
  </si>
  <si>
    <t xml:space="preserve">Consultation with stakeholders, </t>
  </si>
  <si>
    <t>Accessing specialist knowledge and skills from community experts.</t>
  </si>
  <si>
    <t>Accessing specialist knowledge and skills from school experts.</t>
  </si>
  <si>
    <t>Materials, software, equipment, access to space and rooms.</t>
  </si>
  <si>
    <t>Research information</t>
  </si>
  <si>
    <t>Access to space and specialist rooms</t>
  </si>
  <si>
    <t>No</t>
  </si>
  <si>
    <t>Learn GUI from Youtube Videos</t>
  </si>
  <si>
    <t>Computer, Youtube</t>
  </si>
  <si>
    <t>Computer lab</t>
  </si>
  <si>
    <t>Learn GUI from Y13 Manual</t>
  </si>
  <si>
    <t>Research Calculators</t>
  </si>
  <si>
    <t>Brainstorm Ideas</t>
  </si>
  <si>
    <t>Consult client for their aims</t>
  </si>
  <si>
    <t>Computer</t>
  </si>
  <si>
    <t>Calculator interfaces</t>
  </si>
  <si>
    <t>Yes</t>
  </si>
  <si>
    <t>Paper</t>
  </si>
  <si>
    <t>Algorithm for buttons</t>
  </si>
  <si>
    <t>Code buttons and entry widget</t>
  </si>
  <si>
    <t>Code updating text/answer</t>
  </si>
  <si>
    <t>Algorithm for updating text/answer</t>
  </si>
  <si>
    <t>Algorithm for delete number</t>
  </si>
  <si>
    <t>Algorithm for cancel number</t>
  </si>
  <si>
    <t>Code delete and cancel number</t>
  </si>
  <si>
    <t>Code exit calculators and errors</t>
  </si>
  <si>
    <t>Code status bar</t>
  </si>
  <si>
    <t>Code key binding</t>
  </si>
  <si>
    <t>Code leading zero error</t>
  </si>
  <si>
    <t>Code classes</t>
  </si>
  <si>
    <t>Code fonts and colours</t>
  </si>
  <si>
    <t xml:space="preserve">Computer </t>
  </si>
  <si>
    <t>Mr Ganess</t>
  </si>
  <si>
    <t>GUI Manual</t>
  </si>
  <si>
    <t>YouTube Videos</t>
  </si>
  <si>
    <t>Computer , GUI Manual</t>
  </si>
  <si>
    <t>Computer, GUI Manual</t>
  </si>
  <si>
    <t>CRITICAL REVIEW 1</t>
  </si>
  <si>
    <t>CRITICAL REVIEW 2</t>
  </si>
  <si>
    <t>CRITICAL REVIEW 3</t>
  </si>
  <si>
    <t>CRITICAL REVIEW 4</t>
  </si>
  <si>
    <t>KEY</t>
  </si>
  <si>
    <t>Planning/Research</t>
  </si>
  <si>
    <t>Algorithms</t>
  </si>
  <si>
    <t>Coding</t>
  </si>
  <si>
    <t>Critical reviews</t>
  </si>
  <si>
    <t>Deskchecks</t>
  </si>
  <si>
    <t>Final check</t>
  </si>
  <si>
    <t>CRITICAL REVIEW 5</t>
  </si>
  <si>
    <t>Deskcheck</t>
  </si>
  <si>
    <t>Everything</t>
  </si>
  <si>
    <t xml:space="preserve">Many tasks overlap as the Gantt Chart is a representation every 3 days. </t>
  </si>
  <si>
    <t>This means sometimes multiple tasks were done in the span of 3 days.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</si>
</sst>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6"/>
      <name val="Arial"/>
      <family val="2"/>
    </font>
    <font>
      <b/>
      <sz val="14"/>
      <color indexed="9"/>
      <name val="Calibri"/>
      <family val="2"/>
      <scheme val="minor"/>
    </font>
    <font>
      <b/>
      <i/>
      <sz val="14"/>
      <color indexed="9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2"/>
      <name val="Arial"/>
      <family val="2"/>
    </font>
    <font>
      <sz val="22"/>
      <name val="Arial"/>
      <family val="2"/>
    </font>
    <font>
      <b/>
      <sz val="13"/>
      <color indexed="9"/>
      <name val="Calibri"/>
      <family val="2"/>
      <scheme val="minor"/>
    </font>
    <font>
      <b/>
      <sz val="13"/>
      <color theme="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b/>
      <sz val="14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18"/>
        <bgColor indexed="24"/>
      </patternFill>
    </fill>
    <fill>
      <patternFill patternType="solid">
        <fgColor theme="3"/>
        <bgColor indexed="64"/>
      </patternFill>
    </fill>
    <fill>
      <patternFill patternType="solid">
        <fgColor theme="3"/>
        <bgColor indexed="2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14" fontId="0" fillId="0" borderId="0" xfId="0" applyNumberFormat="1" applyProtection="1"/>
    <xf numFmtId="0" fontId="0" fillId="0" borderId="0" xfId="0" applyProtection="1"/>
    <xf numFmtId="0" fontId="5" fillId="0" borderId="0" xfId="0" applyFont="1" applyProtection="1"/>
    <xf numFmtId="0" fontId="7" fillId="2" borderId="1" xfId="0" applyFont="1" applyFill="1" applyBorder="1" applyAlignment="1" applyProtection="1">
      <alignment horizontal="center"/>
    </xf>
    <xf numFmtId="0" fontId="8" fillId="2" borderId="2" xfId="0" applyFont="1" applyFill="1" applyBorder="1" applyAlignment="1" applyProtection="1">
      <alignment horizontal="center"/>
    </xf>
    <xf numFmtId="0" fontId="8" fillId="2" borderId="3" xfId="0" applyFont="1" applyFill="1" applyBorder="1" applyAlignment="1" applyProtection="1">
      <alignment horizontal="center"/>
    </xf>
    <xf numFmtId="14" fontId="9" fillId="0" borderId="4" xfId="0" applyNumberFormat="1" applyFont="1" applyFill="1" applyBorder="1" applyAlignment="1" applyProtection="1">
      <protection locked="0"/>
    </xf>
    <xf numFmtId="0" fontId="9" fillId="0" borderId="4" xfId="0" applyFont="1" applyFill="1" applyBorder="1" applyAlignment="1" applyProtection="1">
      <protection locked="0"/>
    </xf>
    <xf numFmtId="14" fontId="9" fillId="0" borderId="4" xfId="0" applyNumberFormat="1" applyFont="1" applyFill="1" applyBorder="1" applyAlignment="1" applyProtection="1"/>
    <xf numFmtId="2" fontId="9" fillId="0" borderId="4" xfId="0" applyNumberFormat="1" applyFont="1" applyFill="1" applyBorder="1" applyAlignment="1" applyProtection="1"/>
    <xf numFmtId="0" fontId="10" fillId="0" borderId="4" xfId="0" applyFont="1" applyBorder="1"/>
    <xf numFmtId="0" fontId="11" fillId="0" borderId="4" xfId="0" applyFont="1" applyBorder="1" applyAlignment="1">
      <alignment horizontal="left" indent="4" readingOrder="1"/>
    </xf>
    <xf numFmtId="0" fontId="14" fillId="4" borderId="4" xfId="0" applyFont="1" applyFill="1" applyBorder="1" applyAlignment="1" applyProtection="1">
      <alignment horizontal="center" vertical="center"/>
    </xf>
    <xf numFmtId="0" fontId="15" fillId="3" borderId="0" xfId="0" applyFont="1" applyFill="1" applyAlignment="1" applyProtection="1">
      <alignment horizontal="center" vertical="center" wrapText="1"/>
    </xf>
    <xf numFmtId="0" fontId="11" fillId="0" borderId="4" xfId="0" applyFont="1" applyBorder="1" applyAlignment="1">
      <alignment horizontal="left" wrapText="1" readingOrder="1"/>
    </xf>
    <xf numFmtId="0" fontId="0" fillId="0" borderId="4" xfId="0" applyBorder="1" applyAlignment="1" applyProtection="1">
      <alignment wrapText="1" readingOrder="1"/>
    </xf>
    <xf numFmtId="0" fontId="9" fillId="0" borderId="4" xfId="0" applyFont="1" applyBorder="1" applyAlignment="1">
      <alignment wrapText="1" readingOrder="1"/>
    </xf>
    <xf numFmtId="14" fontId="16" fillId="0" borderId="4" xfId="0" applyNumberFormat="1" applyFont="1" applyBorder="1" applyAlignment="1" applyProtection="1">
      <alignment wrapText="1" readingOrder="1"/>
    </xf>
    <xf numFmtId="0" fontId="16" fillId="0" borderId="4" xfId="0" applyFont="1" applyBorder="1" applyAlignment="1" applyProtection="1">
      <alignment wrapText="1" readingOrder="1"/>
    </xf>
    <xf numFmtId="0" fontId="11" fillId="0" borderId="4" xfId="0" applyFont="1" applyBorder="1" applyAlignment="1">
      <alignment horizontal="left" vertical="center" wrapText="1" readingOrder="1"/>
    </xf>
    <xf numFmtId="14" fontId="16" fillId="0" borderId="4" xfId="0" applyNumberFormat="1" applyFont="1" applyBorder="1" applyAlignment="1" applyProtection="1">
      <alignment vertical="center" wrapText="1" readingOrder="1"/>
    </xf>
    <xf numFmtId="0" fontId="11" fillId="0" borderId="4" xfId="0" applyFont="1" applyFill="1" applyBorder="1" applyAlignment="1">
      <alignment horizontal="left" indent="4" readingOrder="1"/>
    </xf>
    <xf numFmtId="0" fontId="11" fillId="0" borderId="4" xfId="0" applyFont="1" applyFill="1" applyBorder="1" applyAlignment="1">
      <alignment horizontal="left" wrapText="1" readingOrder="1"/>
    </xf>
    <xf numFmtId="0" fontId="11" fillId="0" borderId="4" xfId="0" applyFont="1" applyFill="1" applyBorder="1" applyAlignment="1">
      <alignment horizontal="left" vertical="center" wrapText="1" readingOrder="1"/>
    </xf>
    <xf numFmtId="0" fontId="16" fillId="0" borderId="4" xfId="0" applyFont="1" applyFill="1" applyBorder="1" applyProtection="1"/>
    <xf numFmtId="0" fontId="16" fillId="0" borderId="4" xfId="0" applyFont="1" applyFill="1" applyBorder="1" applyAlignment="1" applyProtection="1"/>
    <xf numFmtId="0" fontId="4" fillId="0" borderId="4" xfId="0" applyFont="1" applyFill="1" applyBorder="1" applyAlignment="1">
      <alignment horizontal="left" wrapText="1" readingOrder="1"/>
    </xf>
    <xf numFmtId="0" fontId="4" fillId="0" borderId="4" xfId="0" applyFont="1" applyBorder="1" applyAlignment="1">
      <alignment horizontal="left" wrapText="1" readingOrder="1"/>
    </xf>
    <xf numFmtId="0" fontId="3" fillId="0" borderId="4" xfId="0" applyFont="1" applyBorder="1" applyAlignment="1">
      <alignment horizontal="left" wrapText="1" readingOrder="1"/>
    </xf>
    <xf numFmtId="0" fontId="11" fillId="5" borderId="4" xfId="0" applyFont="1" applyFill="1" applyBorder="1" applyAlignment="1">
      <alignment horizontal="left" indent="4" readingOrder="1"/>
    </xf>
    <xf numFmtId="0" fontId="2" fillId="0" borderId="4" xfId="0" applyFont="1" applyFill="1" applyBorder="1" applyAlignment="1">
      <alignment horizontal="left" wrapText="1" readingOrder="1"/>
    </xf>
    <xf numFmtId="0" fontId="2" fillId="0" borderId="4" xfId="0" applyFont="1" applyBorder="1" applyAlignment="1">
      <alignment horizontal="left" wrapText="1" readingOrder="1"/>
    </xf>
    <xf numFmtId="0" fontId="11" fillId="5" borderId="4" xfId="0" applyFont="1" applyFill="1" applyBorder="1" applyAlignment="1">
      <alignment horizontal="left" wrapText="1" readingOrder="1"/>
    </xf>
    <xf numFmtId="0" fontId="16" fillId="5" borderId="4" xfId="0" applyFont="1" applyFill="1" applyBorder="1" applyAlignment="1" applyProtection="1">
      <alignment wrapText="1" readingOrder="1"/>
    </xf>
    <xf numFmtId="0" fontId="11" fillId="5" borderId="4" xfId="0" applyFont="1" applyFill="1" applyBorder="1" applyAlignment="1">
      <alignment horizontal="left" vertical="center" wrapText="1" readingOrder="1"/>
    </xf>
    <xf numFmtId="0" fontId="16" fillId="5" borderId="4" xfId="0" applyFont="1" applyFill="1" applyBorder="1" applyAlignment="1">
      <alignment wrapText="1" readingOrder="1"/>
    </xf>
    <xf numFmtId="0" fontId="0" fillId="0" borderId="0" xfId="0" applyFill="1" applyBorder="1"/>
    <xf numFmtId="0" fontId="17" fillId="0" borderId="0" xfId="0" applyFont="1"/>
    <xf numFmtId="0" fontId="18" fillId="0" borderId="4" xfId="0" applyFont="1" applyFill="1" applyBorder="1" applyAlignment="1" applyProtection="1">
      <protection locked="0"/>
    </xf>
    <xf numFmtId="0" fontId="0" fillId="0" borderId="4" xfId="0" applyBorder="1"/>
    <xf numFmtId="16" fontId="17" fillId="0" borderId="4" xfId="0" applyNumberFormat="1" applyFont="1" applyBorder="1"/>
    <xf numFmtId="0" fontId="0" fillId="6" borderId="4" xfId="0" applyFill="1" applyBorder="1"/>
    <xf numFmtId="0" fontId="0" fillId="7" borderId="4" xfId="0" applyFill="1" applyBorder="1"/>
    <xf numFmtId="0" fontId="0" fillId="0" borderId="4" xfId="0" applyFill="1" applyBorder="1"/>
    <xf numFmtId="0" fontId="0" fillId="8" borderId="4" xfId="0" applyFill="1" applyBorder="1"/>
    <xf numFmtId="0" fontId="0" fillId="5" borderId="4" xfId="0" applyFill="1" applyBorder="1"/>
    <xf numFmtId="0" fontId="0" fillId="6" borderId="0" xfId="0" applyFill="1"/>
    <xf numFmtId="0" fontId="0" fillId="8" borderId="0" xfId="0" applyFill="1"/>
    <xf numFmtId="0" fontId="0" fillId="7" borderId="0" xfId="0" applyFill="1"/>
    <xf numFmtId="0" fontId="0" fillId="5" borderId="0" xfId="0" applyFill="1"/>
    <xf numFmtId="0" fontId="5" fillId="0" borderId="0" xfId="0" applyFont="1"/>
    <xf numFmtId="0" fontId="1" fillId="0" borderId="4" xfId="0" applyFont="1" applyFill="1" applyBorder="1" applyAlignment="1">
      <alignment horizontal="left" wrapText="1" readingOrder="1"/>
    </xf>
    <xf numFmtId="0" fontId="1" fillId="0" borderId="4" xfId="0" applyFont="1" applyBorder="1" applyAlignment="1">
      <alignment horizontal="left" wrapText="1" readingOrder="1"/>
    </xf>
    <xf numFmtId="0" fontId="1" fillId="5" borderId="4" xfId="0" applyFont="1" applyFill="1" applyBorder="1" applyAlignment="1">
      <alignment horizontal="left" wrapText="1" readingOrder="1"/>
    </xf>
    <xf numFmtId="16" fontId="0" fillId="0" borderId="4" xfId="0" applyNumberFormat="1" applyBorder="1"/>
    <xf numFmtId="0" fontId="0" fillId="9" borderId="4" xfId="0" applyFill="1" applyBorder="1"/>
    <xf numFmtId="0" fontId="0" fillId="9" borderId="0" xfId="0" applyFill="1"/>
    <xf numFmtId="0" fontId="12" fillId="0" borderId="6" xfId="0" applyFont="1" applyBorder="1" applyAlignment="1" applyProtection="1">
      <alignment horizontal="center" vertical="center"/>
    </xf>
    <xf numFmtId="0" fontId="13" fillId="0" borderId="6" xfId="0" applyFont="1" applyBorder="1" applyAlignment="1">
      <alignment vertical="center"/>
    </xf>
    <xf numFmtId="0" fontId="6" fillId="0" borderId="5" xfId="0" applyFont="1" applyBorder="1" applyAlignment="1" applyProtection="1">
      <alignment horizontal="center"/>
    </xf>
    <xf numFmtId="0" fontId="11" fillId="0" borderId="4" xfId="0" applyFont="1" applyFill="1" applyBorder="1" applyAlignment="1">
      <alignment horizontal="center" vertical="top" readingOrder="1"/>
    </xf>
    <xf numFmtId="0" fontId="11" fillId="0" borderId="4" xfId="0" applyFont="1" applyBorder="1" applyAlignment="1">
      <alignment horizontal="center" readingOrder="1"/>
    </xf>
    <xf numFmtId="0" fontId="11" fillId="0" borderId="7" xfId="0" applyFont="1" applyFill="1" applyBorder="1" applyAlignment="1">
      <alignment horizontal="center" vertical="top" readingOrder="1"/>
    </xf>
    <xf numFmtId="0" fontId="11" fillId="0" borderId="8" xfId="0" applyFont="1" applyFill="1" applyBorder="1" applyAlignment="1">
      <alignment horizontal="center" vertical="top" readingOrder="1"/>
    </xf>
    <xf numFmtId="0" fontId="11" fillId="0" borderId="9" xfId="0" applyFont="1" applyFill="1" applyBorder="1" applyAlignment="1">
      <alignment horizontal="center" vertical="top" readingOrder="1"/>
    </xf>
    <xf numFmtId="0" fontId="11" fillId="0" borderId="4" xfId="0" applyFont="1" applyBorder="1" applyAlignment="1">
      <alignment horizontal="center" vertical="top" readingOrder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766545631773562"/>
          <c:y val="0.11320766305488307"/>
          <c:w val="0.72809902010947081"/>
          <c:h val="0.85429856842342355"/>
        </c:manualLayout>
      </c:layout>
      <c:barChart>
        <c:barDir val="bar"/>
        <c:grouping val="stacked"/>
        <c:varyColors val="0"/>
        <c:ser>
          <c:idx val="0"/>
          <c:order val="0"/>
          <c:spPr>
            <a:noFill/>
            <a:ln w="25400"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'Main planner sheet'!$A$3:$A$33</c15:sqref>
                  </c15:fullRef>
                </c:ext>
              </c:extLst>
              <c:f>'Main planner sheet'!$A$3:$A$27</c:f>
              <c:strCache>
                <c:ptCount val="25"/>
                <c:pt idx="0">
                  <c:v>Learn GUI from Youtube Videos</c:v>
                </c:pt>
                <c:pt idx="1">
                  <c:v>Learn GUI from Y13 Manual</c:v>
                </c:pt>
                <c:pt idx="2">
                  <c:v>Research Calculators</c:v>
                </c:pt>
                <c:pt idx="3">
                  <c:v>Brainstorm Ideas</c:v>
                </c:pt>
                <c:pt idx="4">
                  <c:v>Consult client for their aims</c:v>
                </c:pt>
                <c:pt idx="5">
                  <c:v>CRITICAL REVIEW 1</c:v>
                </c:pt>
                <c:pt idx="6">
                  <c:v>Algorithm for buttons</c:v>
                </c:pt>
                <c:pt idx="7">
                  <c:v>Code buttons and entry widget</c:v>
                </c:pt>
                <c:pt idx="8">
                  <c:v>Algorithm for updating text/answer</c:v>
                </c:pt>
                <c:pt idx="9">
                  <c:v>Code updating text/answer</c:v>
                </c:pt>
                <c:pt idx="10">
                  <c:v>CRITICAL REVIEW 2</c:v>
                </c:pt>
                <c:pt idx="11">
                  <c:v>Algorithm for delete number</c:v>
                </c:pt>
                <c:pt idx="12">
                  <c:v>Algorithm for cancel number</c:v>
                </c:pt>
                <c:pt idx="13">
                  <c:v>Code delete and cancel number</c:v>
                </c:pt>
                <c:pt idx="14">
                  <c:v>Code exit calculators and errors</c:v>
                </c:pt>
                <c:pt idx="15">
                  <c:v>CRITICAL REVIEW 3</c:v>
                </c:pt>
                <c:pt idx="16">
                  <c:v>Code status bar</c:v>
                </c:pt>
                <c:pt idx="17">
                  <c:v>Code key binding</c:v>
                </c:pt>
                <c:pt idx="18">
                  <c:v>Code leading zero error</c:v>
                </c:pt>
                <c:pt idx="19">
                  <c:v>Code classes</c:v>
                </c:pt>
                <c:pt idx="20">
                  <c:v>CRITICAL REVIEW 4</c:v>
                </c:pt>
                <c:pt idx="21">
                  <c:v>Code fonts and colours</c:v>
                </c:pt>
                <c:pt idx="22">
                  <c:v>Deskchecks</c:v>
                </c:pt>
                <c:pt idx="23">
                  <c:v>Final check</c:v>
                </c:pt>
                <c:pt idx="24">
                  <c:v>CRITICAL REVIEW 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'Main planner sheet'!$B$3:$B$33</c15:sqref>
                  </c15:fullRef>
                </c:ext>
              </c:extLst>
              <c:f>'Main planner sheet'!$B$3:$B$27</c:f>
              <c:numCache>
                <c:formatCode>m/d/yyyy</c:formatCode>
                <c:ptCount val="25"/>
                <c:pt idx="0">
                  <c:v>42887</c:v>
                </c:pt>
                <c:pt idx="1">
                  <c:v>42894.285714285717</c:v>
                </c:pt>
                <c:pt idx="2">
                  <c:v>42903.571428571435</c:v>
                </c:pt>
                <c:pt idx="3">
                  <c:v>42905.857142857152</c:v>
                </c:pt>
                <c:pt idx="4">
                  <c:v>42908.14285714287</c:v>
                </c:pt>
                <c:pt idx="5">
                  <c:v>42909.428571428587</c:v>
                </c:pt>
                <c:pt idx="6">
                  <c:v>42912.714285714304</c:v>
                </c:pt>
                <c:pt idx="7">
                  <c:v>42915.000000000022</c:v>
                </c:pt>
                <c:pt idx="8">
                  <c:v>42918.285714285739</c:v>
                </c:pt>
                <c:pt idx="9">
                  <c:v>42919.571428571457</c:v>
                </c:pt>
                <c:pt idx="10">
                  <c:v>42923.857142857174</c:v>
                </c:pt>
                <c:pt idx="11">
                  <c:v>42927.142857142891</c:v>
                </c:pt>
                <c:pt idx="12">
                  <c:v>42929.428571428609</c:v>
                </c:pt>
                <c:pt idx="13">
                  <c:v>42931.714285714326</c:v>
                </c:pt>
                <c:pt idx="14">
                  <c:v>42936.000000000044</c:v>
                </c:pt>
                <c:pt idx="15">
                  <c:v>42941.285714285761</c:v>
                </c:pt>
                <c:pt idx="16">
                  <c:v>42945.571428571478</c:v>
                </c:pt>
                <c:pt idx="17">
                  <c:v>42948.857142857196</c:v>
                </c:pt>
                <c:pt idx="18">
                  <c:v>42951.142857142913</c:v>
                </c:pt>
                <c:pt idx="19">
                  <c:v>42953.428571428631</c:v>
                </c:pt>
                <c:pt idx="20">
                  <c:v>42959.714285714348</c:v>
                </c:pt>
                <c:pt idx="21">
                  <c:v>42963.000000000065</c:v>
                </c:pt>
                <c:pt idx="22">
                  <c:v>42967.285714285783</c:v>
                </c:pt>
                <c:pt idx="23">
                  <c:v>42969.5714285715</c:v>
                </c:pt>
                <c:pt idx="24">
                  <c:v>42970.857142857218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E2-47C4-B044-9DD26C00D0F9}"/>
            </c:ext>
          </c:extLst>
        </c:ser>
        <c:ser>
          <c:idx val="1"/>
          <c:order val="1"/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575-4711-A887-8101A8D6FE69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575-4711-A887-8101A8D6FE69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575-4711-A887-8101A8D6FE69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575-4711-A887-8101A8D6FE6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575-4711-A887-8101A8D6FE69}"/>
              </c:ext>
            </c:extLst>
          </c:dPt>
          <c:dPt>
            <c:idx val="6"/>
            <c:invertIfNegative val="0"/>
            <c:bubble3D val="0"/>
            <c:spPr>
              <a:solidFill>
                <a:srgbClr val="00B0F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2575-4711-A887-8101A8D6FE69}"/>
              </c:ext>
            </c:extLst>
          </c:dPt>
          <c:dPt>
            <c:idx val="7"/>
            <c:invertIfNegative val="0"/>
            <c:bubble3D val="0"/>
            <c:spPr>
              <a:solidFill>
                <a:srgbClr val="92D05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2575-4711-A887-8101A8D6FE69}"/>
              </c:ext>
            </c:extLst>
          </c:dPt>
          <c:dPt>
            <c:idx val="8"/>
            <c:invertIfNegative val="0"/>
            <c:bubble3D val="0"/>
            <c:spPr>
              <a:solidFill>
                <a:srgbClr val="00B0F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2575-4711-A887-8101A8D6FE69}"/>
              </c:ext>
            </c:extLst>
          </c:dPt>
          <c:dPt>
            <c:idx val="9"/>
            <c:invertIfNegative val="0"/>
            <c:bubble3D val="0"/>
            <c:spPr>
              <a:solidFill>
                <a:srgbClr val="92D05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2575-4711-A887-8101A8D6FE69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F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2575-4711-A887-8101A8D6FE69}"/>
              </c:ext>
            </c:extLst>
          </c:dPt>
          <c:dPt>
            <c:idx val="12"/>
            <c:invertIfNegative val="0"/>
            <c:bubble3D val="0"/>
            <c:spPr>
              <a:solidFill>
                <a:srgbClr val="00B0F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2575-4711-A887-8101A8D6FE69}"/>
              </c:ext>
            </c:extLst>
          </c:dPt>
          <c:dPt>
            <c:idx val="13"/>
            <c:invertIfNegative val="0"/>
            <c:bubble3D val="0"/>
            <c:spPr>
              <a:solidFill>
                <a:srgbClr val="92D05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2575-4711-A887-8101A8D6FE69}"/>
              </c:ext>
            </c:extLst>
          </c:dPt>
          <c:dPt>
            <c:idx val="14"/>
            <c:invertIfNegative val="0"/>
            <c:bubble3D val="0"/>
            <c:spPr>
              <a:solidFill>
                <a:srgbClr val="92D05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2575-4711-A887-8101A8D6FE69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2575-4711-A887-8101A8D6FE69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2575-4711-A887-8101A8D6FE69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F-2575-4711-A887-8101A8D6FE69}"/>
              </c:ext>
            </c:extLst>
          </c:dPt>
          <c:dPt>
            <c:idx val="19"/>
            <c:invertIfNegative val="0"/>
            <c:bubble3D val="0"/>
            <c:spPr>
              <a:solidFill>
                <a:srgbClr val="92D05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1-2575-4711-A887-8101A8D6FE69}"/>
              </c:ext>
            </c:extLst>
          </c:dPt>
          <c:dPt>
            <c:idx val="21"/>
            <c:invertIfNegative val="0"/>
            <c:bubble3D val="0"/>
            <c:spPr>
              <a:solidFill>
                <a:srgbClr val="92D05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3-2575-4711-A887-8101A8D6FE69}"/>
              </c:ext>
            </c:extLst>
          </c:dPt>
          <c:dPt>
            <c:idx val="22"/>
            <c:invertIfNegative val="0"/>
            <c:bubble3D val="0"/>
            <c:spPr>
              <a:solidFill>
                <a:srgbClr val="00B0F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5-2575-4711-A887-8101A8D6FE69}"/>
              </c:ext>
            </c:extLst>
          </c:dPt>
          <c:dPt>
            <c:idx val="23"/>
            <c:invertIfNegative val="0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7-2575-4711-A887-8101A8D6FE69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'Main planner sheet'!$A$3:$A$33</c15:sqref>
                  </c15:fullRef>
                </c:ext>
              </c:extLst>
              <c:f>'Main planner sheet'!$A$3:$A$27</c:f>
              <c:strCache>
                <c:ptCount val="25"/>
                <c:pt idx="0">
                  <c:v>Learn GUI from Youtube Videos</c:v>
                </c:pt>
                <c:pt idx="1">
                  <c:v>Learn GUI from Y13 Manual</c:v>
                </c:pt>
                <c:pt idx="2">
                  <c:v>Research Calculators</c:v>
                </c:pt>
                <c:pt idx="3">
                  <c:v>Brainstorm Ideas</c:v>
                </c:pt>
                <c:pt idx="4">
                  <c:v>Consult client for their aims</c:v>
                </c:pt>
                <c:pt idx="5">
                  <c:v>CRITICAL REVIEW 1</c:v>
                </c:pt>
                <c:pt idx="6">
                  <c:v>Algorithm for buttons</c:v>
                </c:pt>
                <c:pt idx="7">
                  <c:v>Code buttons and entry widget</c:v>
                </c:pt>
                <c:pt idx="8">
                  <c:v>Algorithm for updating text/answer</c:v>
                </c:pt>
                <c:pt idx="9">
                  <c:v>Code updating text/answer</c:v>
                </c:pt>
                <c:pt idx="10">
                  <c:v>CRITICAL REVIEW 2</c:v>
                </c:pt>
                <c:pt idx="11">
                  <c:v>Algorithm for delete number</c:v>
                </c:pt>
                <c:pt idx="12">
                  <c:v>Algorithm for cancel number</c:v>
                </c:pt>
                <c:pt idx="13">
                  <c:v>Code delete and cancel number</c:v>
                </c:pt>
                <c:pt idx="14">
                  <c:v>Code exit calculators and errors</c:v>
                </c:pt>
                <c:pt idx="15">
                  <c:v>CRITICAL REVIEW 3</c:v>
                </c:pt>
                <c:pt idx="16">
                  <c:v>Code status bar</c:v>
                </c:pt>
                <c:pt idx="17">
                  <c:v>Code key binding</c:v>
                </c:pt>
                <c:pt idx="18">
                  <c:v>Code leading zero error</c:v>
                </c:pt>
                <c:pt idx="19">
                  <c:v>Code classes</c:v>
                </c:pt>
                <c:pt idx="20">
                  <c:v>CRITICAL REVIEW 4</c:v>
                </c:pt>
                <c:pt idx="21">
                  <c:v>Code fonts and colours</c:v>
                </c:pt>
                <c:pt idx="22">
                  <c:v>Deskchecks</c:v>
                </c:pt>
                <c:pt idx="23">
                  <c:v>Final check</c:v>
                </c:pt>
                <c:pt idx="24">
                  <c:v>CRITICAL REVIEW 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'Main planner sheet'!$C$3:$C$33</c15:sqref>
                  </c15:fullRef>
                </c:ext>
              </c:extLst>
              <c:f>'Main planner sheet'!$C$3:$C$27</c:f>
              <c:numCache>
                <c:formatCode>General</c:formatCode>
                <c:ptCount val="25"/>
                <c:pt idx="0">
                  <c:v>7</c:v>
                </c:pt>
                <c:pt idx="1">
                  <c:v>9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6</c:v>
                </c:pt>
                <c:pt idx="20">
                  <c:v>3</c:v>
                </c:pt>
                <c:pt idx="21">
                  <c:v>4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2E2-47C4-B044-9DD26C00D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9620520"/>
        <c:axId val="89620912"/>
      </c:barChart>
      <c:catAx>
        <c:axId val="89620520"/>
        <c:scaling>
          <c:orientation val="maxMin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620912"/>
        <c:crossesAt val="35793"/>
        <c:auto val="1"/>
        <c:lblAlgn val="ctr"/>
        <c:lblOffset val="100"/>
        <c:tickLblSkip val="1"/>
        <c:tickMarkSkip val="1"/>
        <c:noMultiLvlLbl val="0"/>
      </c:catAx>
      <c:valAx>
        <c:axId val="89620912"/>
        <c:scaling>
          <c:orientation val="minMax"/>
          <c:min val="4288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d/m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620520"/>
        <c:crosses val="max"/>
        <c:crossBetween val="between"/>
        <c:majorUnit val="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99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0" workbookViewId="0"/>
  </sheetViews>
  <pageMargins left="0.7" right="0.7" top="0.75" bottom="0.75" header="0.3" footer="0.3"/>
  <pageSetup paperSize="9" orientation="landscape" horizontalDpi="1200" verticalDpi="120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0.00262</cdr:x>
      <cdr:y>0.00401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xmlns="" id="{270B4148-6309-47F8-A4C6-8921B55BC08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0.00262</cdr:x>
      <cdr:y>0.00401</cdr:y>
    </cdr:to>
    <cdr:pic>
      <cdr:nvPicPr>
        <cdr:cNvPr id="4" name="chart">
          <a:extLst xmlns:a="http://schemas.openxmlformats.org/drawingml/2006/main">
            <a:ext uri="{FF2B5EF4-FFF2-40B4-BE49-F238E27FC236}">
              <a16:creationId xmlns:a16="http://schemas.microsoft.com/office/drawing/2014/main" xmlns="" id="{3679DF9C-3A53-4539-BAA1-FF6E7C7E789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0.24725</cdr:x>
      <cdr:y>0.02304</cdr:y>
    </cdr:from>
    <cdr:to>
      <cdr:x>0.98098</cdr:x>
      <cdr:y>0.16897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06543" y="140073"/>
          <a:ext cx="6844927" cy="8871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NZ" sz="1400" b="1"/>
            <a:t>Gantt Chart - Plan</a:t>
          </a:r>
          <a:r>
            <a:rPr lang="en-NZ" sz="1400" b="1" baseline="0"/>
            <a:t> for GUI Calculator</a:t>
          </a:r>
          <a:endParaRPr lang="en-NZ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G39"/>
  <sheetViews>
    <sheetView showGridLines="0" zoomScale="75" zoomScaleNormal="75" workbookViewId="0">
      <selection activeCell="A17" sqref="A17"/>
    </sheetView>
  </sheetViews>
  <sheetFormatPr defaultRowHeight="12.75" x14ac:dyDescent="0.2"/>
  <cols>
    <col min="1" max="1" width="74.5703125" style="2" customWidth="1"/>
    <col min="2" max="3" width="32.7109375" style="2" customWidth="1"/>
    <col min="4" max="4" width="23.7109375" style="2" customWidth="1"/>
    <col min="5" max="5" width="34" style="2" customWidth="1"/>
    <col min="6" max="6" width="30.7109375" style="2" customWidth="1"/>
    <col min="7" max="7" width="33.42578125" style="2" customWidth="1"/>
    <col min="8" max="16384" width="9.140625" style="2"/>
  </cols>
  <sheetData>
    <row r="1" spans="1:7" ht="41.25" customHeight="1" x14ac:dyDescent="0.2">
      <c r="A1" s="58" t="s">
        <v>7</v>
      </c>
      <c r="B1" s="58"/>
      <c r="C1" s="58"/>
      <c r="D1" s="59"/>
      <c r="E1" s="59"/>
      <c r="F1" s="59"/>
      <c r="G1" s="59"/>
    </row>
    <row r="2" spans="1:7" ht="49.5" x14ac:dyDescent="0.2">
      <c r="A2" s="13" t="s">
        <v>5</v>
      </c>
      <c r="B2" s="14" t="s">
        <v>12</v>
      </c>
      <c r="C2" s="14" t="s">
        <v>14</v>
      </c>
      <c r="D2" s="14" t="s">
        <v>13</v>
      </c>
      <c r="E2" s="14" t="s">
        <v>9</v>
      </c>
      <c r="F2" s="14" t="s">
        <v>10</v>
      </c>
      <c r="G2" s="14" t="s">
        <v>11</v>
      </c>
    </row>
    <row r="3" spans="1:7" ht="15" x14ac:dyDescent="0.25">
      <c r="A3" s="15" t="s">
        <v>16</v>
      </c>
      <c r="B3" s="15" t="s">
        <v>17</v>
      </c>
      <c r="C3" s="15" t="s">
        <v>18</v>
      </c>
      <c r="D3" s="18" t="s">
        <v>43</v>
      </c>
      <c r="E3" s="19" t="s">
        <v>15</v>
      </c>
      <c r="F3" s="19" t="s">
        <v>15</v>
      </c>
      <c r="G3" s="19" t="s">
        <v>15</v>
      </c>
    </row>
    <row r="4" spans="1:7" ht="15" x14ac:dyDescent="0.25">
      <c r="A4" s="15" t="s">
        <v>19</v>
      </c>
      <c r="B4" s="15" t="s">
        <v>45</v>
      </c>
      <c r="C4" s="15" t="s">
        <v>18</v>
      </c>
      <c r="D4" s="21" t="s">
        <v>42</v>
      </c>
      <c r="E4" s="21" t="s">
        <v>15</v>
      </c>
      <c r="F4" s="21" t="s">
        <v>15</v>
      </c>
      <c r="G4" s="21" t="s">
        <v>15</v>
      </c>
    </row>
    <row r="5" spans="1:7" ht="15" x14ac:dyDescent="0.25">
      <c r="A5" s="23" t="s">
        <v>20</v>
      </c>
      <c r="B5" s="15" t="s">
        <v>23</v>
      </c>
      <c r="C5" s="15" t="s">
        <v>18</v>
      </c>
      <c r="D5" s="18" t="s">
        <v>24</v>
      </c>
      <c r="E5" s="21" t="s">
        <v>15</v>
      </c>
      <c r="F5" s="21" t="s">
        <v>15</v>
      </c>
      <c r="G5" s="21" t="s">
        <v>15</v>
      </c>
    </row>
    <row r="6" spans="1:7" ht="15" x14ac:dyDescent="0.2">
      <c r="A6" s="24" t="s">
        <v>21</v>
      </c>
      <c r="B6" s="20" t="s">
        <v>26</v>
      </c>
      <c r="C6" s="20" t="s">
        <v>15</v>
      </c>
      <c r="D6" s="21" t="s">
        <v>15</v>
      </c>
      <c r="E6" s="21" t="s">
        <v>15</v>
      </c>
      <c r="F6" s="21" t="s">
        <v>15</v>
      </c>
      <c r="G6" s="21" t="s">
        <v>15</v>
      </c>
    </row>
    <row r="7" spans="1:7" ht="15" x14ac:dyDescent="0.25">
      <c r="A7" s="27" t="s">
        <v>22</v>
      </c>
      <c r="B7" s="28" t="s">
        <v>15</v>
      </c>
      <c r="C7" s="15" t="s">
        <v>15</v>
      </c>
      <c r="D7" s="19" t="s">
        <v>15</v>
      </c>
      <c r="E7" s="19" t="s">
        <v>25</v>
      </c>
      <c r="F7" s="19" t="s">
        <v>15</v>
      </c>
      <c r="G7" s="19" t="s">
        <v>15</v>
      </c>
    </row>
    <row r="8" spans="1:7" ht="15" x14ac:dyDescent="0.25">
      <c r="A8" s="33" t="s">
        <v>46</v>
      </c>
      <c r="B8" s="33" t="s">
        <v>15</v>
      </c>
      <c r="C8" s="33" t="s">
        <v>15</v>
      </c>
      <c r="D8" s="34" t="s">
        <v>15</v>
      </c>
      <c r="E8" s="34" t="s">
        <v>25</v>
      </c>
      <c r="F8" s="34" t="s">
        <v>15</v>
      </c>
      <c r="G8" s="34" t="s">
        <v>15</v>
      </c>
    </row>
    <row r="9" spans="1:7" ht="15" x14ac:dyDescent="0.25">
      <c r="A9" s="23" t="s">
        <v>27</v>
      </c>
      <c r="B9" s="15" t="s">
        <v>40</v>
      </c>
      <c r="C9" s="15" t="s">
        <v>18</v>
      </c>
      <c r="D9" s="19" t="s">
        <v>15</v>
      </c>
      <c r="E9" s="19" t="s">
        <v>15</v>
      </c>
      <c r="F9" s="19" t="s">
        <v>15</v>
      </c>
      <c r="G9" s="19" t="s">
        <v>15</v>
      </c>
    </row>
    <row r="10" spans="1:7" ht="15" x14ac:dyDescent="0.25">
      <c r="A10" s="23" t="s">
        <v>28</v>
      </c>
      <c r="B10" s="15" t="s">
        <v>40</v>
      </c>
      <c r="C10" s="15" t="s">
        <v>18</v>
      </c>
      <c r="D10" s="19" t="s">
        <v>15</v>
      </c>
      <c r="E10" s="19" t="s">
        <v>15</v>
      </c>
      <c r="F10" s="19" t="s">
        <v>15</v>
      </c>
      <c r="G10" s="19" t="s">
        <v>15</v>
      </c>
    </row>
    <row r="11" spans="1:7" ht="15" x14ac:dyDescent="0.25">
      <c r="A11" s="23" t="s">
        <v>30</v>
      </c>
      <c r="B11" s="15" t="s">
        <v>40</v>
      </c>
      <c r="C11" s="15" t="s">
        <v>18</v>
      </c>
      <c r="D11" s="19" t="s">
        <v>15</v>
      </c>
      <c r="E11" s="19" t="s">
        <v>15</v>
      </c>
      <c r="F11" s="19" t="s">
        <v>15</v>
      </c>
      <c r="G11" s="19" t="s">
        <v>15</v>
      </c>
    </row>
    <row r="12" spans="1:7" ht="15" x14ac:dyDescent="0.25">
      <c r="A12" s="25" t="s">
        <v>29</v>
      </c>
      <c r="B12" s="15" t="s">
        <v>40</v>
      </c>
      <c r="C12" s="15" t="s">
        <v>18</v>
      </c>
      <c r="D12" s="19" t="s">
        <v>15</v>
      </c>
      <c r="E12" s="19" t="s">
        <v>15</v>
      </c>
      <c r="F12" s="19" t="s">
        <v>15</v>
      </c>
      <c r="G12" s="19" t="s">
        <v>15</v>
      </c>
    </row>
    <row r="13" spans="1:7" ht="15" x14ac:dyDescent="0.25">
      <c r="A13" s="33" t="s">
        <v>47</v>
      </c>
      <c r="B13" s="33" t="s">
        <v>15</v>
      </c>
      <c r="C13" s="33" t="s">
        <v>15</v>
      </c>
      <c r="D13" s="34" t="s">
        <v>15</v>
      </c>
      <c r="E13" s="34" t="s">
        <v>25</v>
      </c>
      <c r="F13" s="34" t="s">
        <v>15</v>
      </c>
      <c r="G13" s="34" t="s">
        <v>15</v>
      </c>
    </row>
    <row r="14" spans="1:7" ht="15" x14ac:dyDescent="0.25">
      <c r="A14" s="26" t="s">
        <v>31</v>
      </c>
      <c r="B14" s="15" t="s">
        <v>40</v>
      </c>
      <c r="C14" s="15" t="s">
        <v>18</v>
      </c>
      <c r="D14" s="19" t="s">
        <v>15</v>
      </c>
      <c r="E14" s="19" t="s">
        <v>15</v>
      </c>
      <c r="F14" s="19" t="s">
        <v>15</v>
      </c>
      <c r="G14" s="19" t="s">
        <v>15</v>
      </c>
    </row>
    <row r="15" spans="1:7" ht="15" x14ac:dyDescent="0.25">
      <c r="A15" s="25" t="s">
        <v>32</v>
      </c>
      <c r="B15" s="15" t="s">
        <v>40</v>
      </c>
      <c r="C15" s="15" t="s">
        <v>18</v>
      </c>
      <c r="D15" s="19" t="s">
        <v>15</v>
      </c>
      <c r="E15" s="19" t="s">
        <v>15</v>
      </c>
      <c r="F15" s="19" t="s">
        <v>15</v>
      </c>
      <c r="G15" s="19" t="s">
        <v>15</v>
      </c>
    </row>
    <row r="16" spans="1:7" ht="15" x14ac:dyDescent="0.25">
      <c r="A16" s="25" t="s">
        <v>33</v>
      </c>
      <c r="B16" s="15" t="s">
        <v>40</v>
      </c>
      <c r="C16" s="15" t="s">
        <v>18</v>
      </c>
      <c r="D16" s="19" t="s">
        <v>15</v>
      </c>
      <c r="E16" s="19" t="s">
        <v>15</v>
      </c>
      <c r="F16" s="19" t="s">
        <v>15</v>
      </c>
      <c r="G16" s="19" t="s">
        <v>15</v>
      </c>
    </row>
    <row r="17" spans="1:7" ht="15" x14ac:dyDescent="0.25">
      <c r="A17" s="24" t="s">
        <v>34</v>
      </c>
      <c r="B17" s="15" t="s">
        <v>40</v>
      </c>
      <c r="C17" s="15" t="s">
        <v>18</v>
      </c>
      <c r="D17" s="19" t="s">
        <v>15</v>
      </c>
      <c r="E17" s="19" t="s">
        <v>15</v>
      </c>
      <c r="F17" s="19" t="s">
        <v>15</v>
      </c>
      <c r="G17" s="19" t="s">
        <v>15</v>
      </c>
    </row>
    <row r="18" spans="1:7" ht="15" x14ac:dyDescent="0.25">
      <c r="A18" s="35" t="s">
        <v>48</v>
      </c>
      <c r="B18" s="33" t="s">
        <v>15</v>
      </c>
      <c r="C18" s="33" t="s">
        <v>15</v>
      </c>
      <c r="D18" s="34" t="s">
        <v>15</v>
      </c>
      <c r="E18" s="34" t="s">
        <v>25</v>
      </c>
      <c r="F18" s="34" t="s">
        <v>15</v>
      </c>
      <c r="G18" s="34" t="s">
        <v>15</v>
      </c>
    </row>
    <row r="19" spans="1:7" ht="15" x14ac:dyDescent="0.25">
      <c r="A19" s="23" t="s">
        <v>35</v>
      </c>
      <c r="B19" s="15" t="s">
        <v>40</v>
      </c>
      <c r="C19" s="15" t="s">
        <v>18</v>
      </c>
      <c r="D19" s="19" t="s">
        <v>15</v>
      </c>
      <c r="E19" s="19" t="s">
        <v>15</v>
      </c>
      <c r="F19" s="19" t="s">
        <v>15</v>
      </c>
      <c r="G19" s="19" t="s">
        <v>15</v>
      </c>
    </row>
    <row r="20" spans="1:7" ht="15" x14ac:dyDescent="0.25">
      <c r="A20" s="31" t="s">
        <v>36</v>
      </c>
      <c r="B20" s="15" t="s">
        <v>40</v>
      </c>
      <c r="C20" s="15" t="s">
        <v>18</v>
      </c>
      <c r="D20" s="19" t="s">
        <v>15</v>
      </c>
      <c r="E20" s="19" t="s">
        <v>15</v>
      </c>
      <c r="F20" s="19" t="s">
        <v>15</v>
      </c>
      <c r="G20" s="19" t="s">
        <v>15</v>
      </c>
    </row>
    <row r="21" spans="1:7" ht="15" x14ac:dyDescent="0.25">
      <c r="A21" s="32" t="s">
        <v>37</v>
      </c>
      <c r="B21" s="15" t="s">
        <v>40</v>
      </c>
      <c r="C21" s="15" t="s">
        <v>18</v>
      </c>
      <c r="D21" s="19" t="s">
        <v>15</v>
      </c>
      <c r="E21" s="19" t="s">
        <v>15</v>
      </c>
      <c r="F21" s="19" t="s">
        <v>15</v>
      </c>
      <c r="G21" s="19" t="s">
        <v>15</v>
      </c>
    </row>
    <row r="22" spans="1:7" ht="15" x14ac:dyDescent="0.25">
      <c r="A22" s="32" t="s">
        <v>38</v>
      </c>
      <c r="B22" s="15" t="s">
        <v>44</v>
      </c>
      <c r="C22" s="15" t="s">
        <v>18</v>
      </c>
      <c r="D22" s="19" t="s">
        <v>15</v>
      </c>
      <c r="E22" s="19" t="s">
        <v>15</v>
      </c>
      <c r="F22" s="19" t="s">
        <v>15</v>
      </c>
      <c r="G22" s="19" t="s">
        <v>41</v>
      </c>
    </row>
    <row r="23" spans="1:7" ht="15" x14ac:dyDescent="0.25">
      <c r="A23" s="36" t="s">
        <v>49</v>
      </c>
      <c r="B23" s="33" t="s">
        <v>15</v>
      </c>
      <c r="C23" s="33" t="s">
        <v>15</v>
      </c>
      <c r="D23" s="34" t="s">
        <v>15</v>
      </c>
      <c r="E23" s="34" t="s">
        <v>25</v>
      </c>
      <c r="F23" s="34" t="s">
        <v>15</v>
      </c>
      <c r="G23" s="34" t="s">
        <v>15</v>
      </c>
    </row>
    <row r="24" spans="1:7" ht="15" x14ac:dyDescent="0.25">
      <c r="A24" s="24" t="s">
        <v>39</v>
      </c>
      <c r="B24" s="15" t="s">
        <v>40</v>
      </c>
      <c r="C24" s="15" t="s">
        <v>18</v>
      </c>
      <c r="D24" s="19" t="s">
        <v>25</v>
      </c>
      <c r="E24" s="19" t="s">
        <v>15</v>
      </c>
      <c r="F24" s="19" t="s">
        <v>15</v>
      </c>
      <c r="G24" s="19" t="s">
        <v>15</v>
      </c>
    </row>
    <row r="25" spans="1:7" ht="15" x14ac:dyDescent="0.25">
      <c r="A25" s="23" t="s">
        <v>55</v>
      </c>
      <c r="B25" s="15" t="s">
        <v>23</v>
      </c>
      <c r="C25" s="15" t="s">
        <v>18</v>
      </c>
      <c r="D25" s="19" t="s">
        <v>15</v>
      </c>
      <c r="E25" s="19" t="s">
        <v>15</v>
      </c>
      <c r="F25" s="19" t="s">
        <v>15</v>
      </c>
      <c r="G25" s="19" t="s">
        <v>15</v>
      </c>
    </row>
    <row r="26" spans="1:7" ht="15" x14ac:dyDescent="0.25">
      <c r="A26" s="52" t="s">
        <v>56</v>
      </c>
      <c r="B26" s="53" t="s">
        <v>23</v>
      </c>
      <c r="C26" s="15" t="s">
        <v>18</v>
      </c>
      <c r="D26" s="19" t="s">
        <v>15</v>
      </c>
      <c r="E26" s="19" t="s">
        <v>15</v>
      </c>
      <c r="F26" s="19" t="s">
        <v>15</v>
      </c>
      <c r="G26" s="19" t="s">
        <v>15</v>
      </c>
    </row>
    <row r="27" spans="1:7" ht="15" x14ac:dyDescent="0.25">
      <c r="A27" s="54" t="s">
        <v>57</v>
      </c>
      <c r="B27" s="33" t="s">
        <v>15</v>
      </c>
      <c r="C27" s="33" t="s">
        <v>15</v>
      </c>
      <c r="D27" s="34" t="s">
        <v>15</v>
      </c>
      <c r="E27" s="34" t="s">
        <v>25</v>
      </c>
      <c r="F27" s="34" t="s">
        <v>15</v>
      </c>
      <c r="G27" s="34" t="s">
        <v>15</v>
      </c>
    </row>
    <row r="28" spans="1:7" ht="15" x14ac:dyDescent="0.25">
      <c r="A28" s="29"/>
      <c r="B28" s="15"/>
      <c r="C28" s="15"/>
      <c r="D28" s="19"/>
      <c r="E28" s="19"/>
      <c r="F28" s="19"/>
      <c r="G28" s="19"/>
    </row>
    <row r="29" spans="1:7" ht="15.75" x14ac:dyDescent="0.25">
      <c r="A29" s="17"/>
      <c r="B29" s="17"/>
      <c r="C29" s="17"/>
      <c r="D29" s="16"/>
      <c r="E29" s="16"/>
      <c r="F29" s="16"/>
      <c r="G29" s="16"/>
    </row>
    <row r="30" spans="1:7" ht="15.75" x14ac:dyDescent="0.25">
      <c r="A30" s="17"/>
      <c r="B30" s="17"/>
      <c r="C30" s="17"/>
      <c r="D30" s="16"/>
      <c r="E30" s="16"/>
      <c r="F30" s="16"/>
      <c r="G30" s="16"/>
    </row>
    <row r="31" spans="1:7" ht="15.75" x14ac:dyDescent="0.25">
      <c r="A31" s="17"/>
      <c r="B31" s="17"/>
      <c r="C31" s="17"/>
      <c r="D31" s="16"/>
      <c r="E31" s="16"/>
      <c r="F31" s="16"/>
      <c r="G31" s="16"/>
    </row>
    <row r="32" spans="1:7" ht="15.75" x14ac:dyDescent="0.25">
      <c r="A32" s="17"/>
      <c r="B32" s="17"/>
      <c r="C32" s="17"/>
      <c r="D32" s="16"/>
      <c r="E32" s="16"/>
      <c r="F32" s="16"/>
      <c r="G32" s="16"/>
    </row>
    <row r="33" spans="1:7" ht="15.75" x14ac:dyDescent="0.25">
      <c r="A33" s="17"/>
      <c r="B33" s="17"/>
      <c r="C33" s="17"/>
      <c r="D33" s="16"/>
      <c r="E33" s="16"/>
      <c r="F33" s="16"/>
      <c r="G33" s="16"/>
    </row>
    <row r="35" spans="1:7" x14ac:dyDescent="0.2">
      <c r="A35" s="2" t="s">
        <v>8</v>
      </c>
    </row>
    <row r="36" spans="1:7" x14ac:dyDescent="0.2">
      <c r="A36" s="2" t="s">
        <v>8</v>
      </c>
    </row>
    <row r="37" spans="1:7" x14ac:dyDescent="0.2">
      <c r="A37" s="2" t="s">
        <v>8</v>
      </c>
    </row>
    <row r="38" spans="1:7" x14ac:dyDescent="0.2">
      <c r="A38" s="2" t="s">
        <v>8</v>
      </c>
    </row>
    <row r="39" spans="1:7" x14ac:dyDescent="0.2">
      <c r="A39" s="2" t="s">
        <v>8</v>
      </c>
    </row>
  </sheetData>
  <mergeCells count="1">
    <mergeCell ref="A1:G1"/>
  </mergeCells>
  <pageMargins left="0.74803149606299213" right="0.74803149606299213" top="0.98425196850393704" bottom="0.98425196850393704" header="0.51181102362204722" footer="0.51181102362204722"/>
  <pageSetup paperSize="9" scale="5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52"/>
  <sheetViews>
    <sheetView showGridLines="0" topLeftCell="A3" zoomScale="75" zoomScaleNormal="75" workbookViewId="0">
      <selection activeCell="B3" sqref="B3"/>
    </sheetView>
  </sheetViews>
  <sheetFormatPr defaultRowHeight="12.75" x14ac:dyDescent="0.2"/>
  <cols>
    <col min="1" max="1" width="117.85546875" style="2" bestFit="1" customWidth="1"/>
    <col min="2" max="2" width="13.42578125" style="2" bestFit="1" customWidth="1"/>
    <col min="3" max="3" width="11.85546875" style="2" customWidth="1"/>
    <col min="4" max="4" width="12.28515625" style="2" bestFit="1" customWidth="1"/>
    <col min="5" max="5" width="15.42578125" style="2" customWidth="1"/>
    <col min="6" max="6" width="10.140625" style="2" bestFit="1" customWidth="1"/>
    <col min="7" max="7" width="20.140625" style="2" bestFit="1" customWidth="1"/>
    <col min="8" max="8" width="9.7109375" style="2" bestFit="1" customWidth="1"/>
    <col min="9" max="16384" width="9.140625" style="2"/>
  </cols>
  <sheetData>
    <row r="1" spans="1:6" ht="21" thickBot="1" x14ac:dyDescent="0.35">
      <c r="A1" s="60" t="s">
        <v>6</v>
      </c>
      <c r="B1" s="60"/>
      <c r="C1" s="60"/>
      <c r="D1" s="60"/>
      <c r="E1" s="60"/>
    </row>
    <row r="2" spans="1:6" ht="18.75" x14ac:dyDescent="0.3">
      <c r="A2" s="4" t="s">
        <v>5</v>
      </c>
      <c r="B2" s="5" t="s">
        <v>0</v>
      </c>
      <c r="C2" s="5" t="s">
        <v>1</v>
      </c>
      <c r="D2" s="5" t="s">
        <v>2</v>
      </c>
      <c r="E2" s="6" t="s">
        <v>4</v>
      </c>
    </row>
    <row r="3" spans="1:6" ht="18.75" x14ac:dyDescent="0.3">
      <c r="A3" s="12" t="str">
        <f>'Task list'!A3</f>
        <v>Learn GUI from Youtube Videos</v>
      </c>
      <c r="B3" s="7">
        <v>42887</v>
      </c>
      <c r="C3" s="11">
        <v>7</v>
      </c>
      <c r="D3" s="7">
        <f>B3+C3+2/7</f>
        <v>42894.285714285717</v>
      </c>
      <c r="E3" s="10">
        <f t="shared" ref="E3:E33" si="0">D3</f>
        <v>42894.285714285717</v>
      </c>
      <c r="F3" s="1" t="s">
        <v>3</v>
      </c>
    </row>
    <row r="4" spans="1:6" ht="18.75" x14ac:dyDescent="0.3">
      <c r="A4" s="12" t="str">
        <f>'Task list'!A4</f>
        <v>Learn GUI from Y13 Manual</v>
      </c>
      <c r="B4" s="7">
        <f>D3</f>
        <v>42894.285714285717</v>
      </c>
      <c r="C4" s="11">
        <v>9</v>
      </c>
      <c r="D4" s="7">
        <f t="shared" ref="D4:D33" si="1">B4+C4+2/7</f>
        <v>42903.571428571435</v>
      </c>
      <c r="E4" s="10">
        <f t="shared" si="0"/>
        <v>42903.571428571435</v>
      </c>
      <c r="F4" s="1" t="s">
        <v>3</v>
      </c>
    </row>
    <row r="5" spans="1:6" ht="18.75" x14ac:dyDescent="0.3">
      <c r="A5" s="12" t="str">
        <f>'Task list'!A5</f>
        <v>Research Calculators</v>
      </c>
      <c r="B5" s="7">
        <f t="shared" ref="B5:B33" si="2">D4</f>
        <v>42903.571428571435</v>
      </c>
      <c r="C5" s="11">
        <v>2</v>
      </c>
      <c r="D5" s="7">
        <f t="shared" si="1"/>
        <v>42905.857142857152</v>
      </c>
      <c r="E5" s="10">
        <f t="shared" si="0"/>
        <v>42905.857142857152</v>
      </c>
      <c r="F5" s="1" t="s">
        <v>3</v>
      </c>
    </row>
    <row r="6" spans="1:6" ht="18.75" x14ac:dyDescent="0.3">
      <c r="A6" s="12" t="str">
        <f>'Task list'!A6</f>
        <v>Brainstorm Ideas</v>
      </c>
      <c r="B6" s="7">
        <f t="shared" si="2"/>
        <v>42905.857142857152</v>
      </c>
      <c r="C6" s="11">
        <v>2</v>
      </c>
      <c r="D6" s="7">
        <f t="shared" si="1"/>
        <v>42908.14285714287</v>
      </c>
      <c r="E6" s="10">
        <f t="shared" si="0"/>
        <v>42908.14285714287</v>
      </c>
      <c r="F6" s="1" t="s">
        <v>3</v>
      </c>
    </row>
    <row r="7" spans="1:6" ht="18.75" x14ac:dyDescent="0.3">
      <c r="A7" s="12" t="str">
        <f>'Task list'!A7</f>
        <v>Consult client for their aims</v>
      </c>
      <c r="B7" s="7">
        <f t="shared" si="2"/>
        <v>42908.14285714287</v>
      </c>
      <c r="C7" s="11">
        <v>1</v>
      </c>
      <c r="D7" s="7">
        <f t="shared" si="1"/>
        <v>42909.428571428587</v>
      </c>
      <c r="E7" s="10">
        <f t="shared" si="0"/>
        <v>42909.428571428587</v>
      </c>
    </row>
    <row r="8" spans="1:6" ht="18.75" x14ac:dyDescent="0.3">
      <c r="A8" s="30" t="str">
        <f>'Task list'!A8</f>
        <v>CRITICAL REVIEW 1</v>
      </c>
      <c r="B8" s="7">
        <f t="shared" si="2"/>
        <v>42909.428571428587</v>
      </c>
      <c r="C8" s="11">
        <v>3</v>
      </c>
      <c r="D8" s="7">
        <f t="shared" si="1"/>
        <v>42912.714285714304</v>
      </c>
      <c r="E8" s="10">
        <f t="shared" si="0"/>
        <v>42912.714285714304</v>
      </c>
    </row>
    <row r="9" spans="1:6" ht="18.75" x14ac:dyDescent="0.3">
      <c r="A9" s="22" t="str">
        <f>'Task list'!A9</f>
        <v>Algorithm for buttons</v>
      </c>
      <c r="B9" s="7">
        <f t="shared" si="2"/>
        <v>42912.714285714304</v>
      </c>
      <c r="C9" s="11">
        <v>2</v>
      </c>
      <c r="D9" s="7">
        <f t="shared" si="1"/>
        <v>42915.000000000022</v>
      </c>
      <c r="E9" s="10">
        <f t="shared" si="0"/>
        <v>42915.000000000022</v>
      </c>
    </row>
    <row r="10" spans="1:6" ht="18.75" x14ac:dyDescent="0.3">
      <c r="A10" s="22" t="str">
        <f>'Task list'!A10</f>
        <v>Code buttons and entry widget</v>
      </c>
      <c r="B10" s="7">
        <f t="shared" si="2"/>
        <v>42915.000000000022</v>
      </c>
      <c r="C10" s="11">
        <v>3</v>
      </c>
      <c r="D10" s="7">
        <f t="shared" si="1"/>
        <v>42918.285714285739</v>
      </c>
      <c r="E10" s="10">
        <f t="shared" si="0"/>
        <v>42918.285714285739</v>
      </c>
    </row>
    <row r="11" spans="1:6" ht="18.75" x14ac:dyDescent="0.3">
      <c r="A11" s="22" t="str">
        <f>'Task list'!A11</f>
        <v>Algorithm for updating text/answer</v>
      </c>
      <c r="B11" s="7">
        <f t="shared" si="2"/>
        <v>42918.285714285739</v>
      </c>
      <c r="C11" s="11">
        <v>1</v>
      </c>
      <c r="D11" s="7">
        <f t="shared" si="1"/>
        <v>42919.571428571457</v>
      </c>
      <c r="E11" s="10">
        <f t="shared" si="0"/>
        <v>42919.571428571457</v>
      </c>
    </row>
    <row r="12" spans="1:6" ht="18.75" x14ac:dyDescent="0.3">
      <c r="A12" s="22" t="str">
        <f>'Task list'!A12</f>
        <v>Code updating text/answer</v>
      </c>
      <c r="B12" s="7">
        <f t="shared" si="2"/>
        <v>42919.571428571457</v>
      </c>
      <c r="C12" s="11">
        <v>4</v>
      </c>
      <c r="D12" s="7">
        <f t="shared" si="1"/>
        <v>42923.857142857174</v>
      </c>
      <c r="E12" s="10">
        <f t="shared" si="0"/>
        <v>42923.857142857174</v>
      </c>
    </row>
    <row r="13" spans="1:6" ht="18.75" x14ac:dyDescent="0.3">
      <c r="A13" s="30" t="str">
        <f>'Task list'!A13</f>
        <v>CRITICAL REVIEW 2</v>
      </c>
      <c r="B13" s="7">
        <f t="shared" si="2"/>
        <v>42923.857142857174</v>
      </c>
      <c r="C13" s="11">
        <v>3</v>
      </c>
      <c r="D13" s="7">
        <f t="shared" si="1"/>
        <v>42927.142857142891</v>
      </c>
      <c r="E13" s="10">
        <f t="shared" si="0"/>
        <v>42927.142857142891</v>
      </c>
    </row>
    <row r="14" spans="1:6" ht="18.75" x14ac:dyDescent="0.3">
      <c r="A14" s="22" t="str">
        <f>'Task list'!A14</f>
        <v>Algorithm for delete number</v>
      </c>
      <c r="B14" s="7">
        <f t="shared" si="2"/>
        <v>42927.142857142891</v>
      </c>
      <c r="C14" s="11">
        <v>2</v>
      </c>
      <c r="D14" s="7">
        <f t="shared" si="1"/>
        <v>42929.428571428609</v>
      </c>
      <c r="E14" s="10">
        <f t="shared" si="0"/>
        <v>42929.428571428609</v>
      </c>
    </row>
    <row r="15" spans="1:6" ht="18.75" x14ac:dyDescent="0.3">
      <c r="A15" s="22" t="str">
        <f>'Task list'!A15</f>
        <v>Algorithm for cancel number</v>
      </c>
      <c r="B15" s="7">
        <f t="shared" si="2"/>
        <v>42929.428571428609</v>
      </c>
      <c r="C15" s="11">
        <v>2</v>
      </c>
      <c r="D15" s="7">
        <f t="shared" si="1"/>
        <v>42931.714285714326</v>
      </c>
      <c r="E15" s="10">
        <f t="shared" si="0"/>
        <v>42931.714285714326</v>
      </c>
    </row>
    <row r="16" spans="1:6" ht="18.75" x14ac:dyDescent="0.3">
      <c r="A16" s="22" t="str">
        <f>'Task list'!A16</f>
        <v>Code delete and cancel number</v>
      </c>
      <c r="B16" s="7">
        <f t="shared" si="2"/>
        <v>42931.714285714326</v>
      </c>
      <c r="C16" s="11">
        <v>4</v>
      </c>
      <c r="D16" s="7">
        <f t="shared" si="1"/>
        <v>42936.000000000044</v>
      </c>
      <c r="E16" s="10">
        <f t="shared" si="0"/>
        <v>42936.000000000044</v>
      </c>
    </row>
    <row r="17" spans="1:5" ht="18.75" x14ac:dyDescent="0.3">
      <c r="A17" s="22" t="str">
        <f>'Task list'!A17</f>
        <v>Code exit calculators and errors</v>
      </c>
      <c r="B17" s="7">
        <f t="shared" si="2"/>
        <v>42936.000000000044</v>
      </c>
      <c r="C17" s="11">
        <v>5</v>
      </c>
      <c r="D17" s="7">
        <f t="shared" si="1"/>
        <v>42941.285714285761</v>
      </c>
      <c r="E17" s="10">
        <f t="shared" si="0"/>
        <v>42941.285714285761</v>
      </c>
    </row>
    <row r="18" spans="1:5" ht="18.75" x14ac:dyDescent="0.3">
      <c r="A18" s="30" t="str">
        <f>'Task list'!A18</f>
        <v>CRITICAL REVIEW 3</v>
      </c>
      <c r="B18" s="7">
        <f t="shared" si="2"/>
        <v>42941.285714285761</v>
      </c>
      <c r="C18" s="11">
        <v>4</v>
      </c>
      <c r="D18" s="7">
        <f t="shared" si="1"/>
        <v>42945.571428571478</v>
      </c>
      <c r="E18" s="10">
        <f t="shared" si="0"/>
        <v>42945.571428571478</v>
      </c>
    </row>
    <row r="19" spans="1:5" ht="18.75" x14ac:dyDescent="0.3">
      <c r="A19" s="22" t="str">
        <f>'Task list'!A19</f>
        <v>Code status bar</v>
      </c>
      <c r="B19" s="7">
        <f t="shared" si="2"/>
        <v>42945.571428571478</v>
      </c>
      <c r="C19" s="11">
        <v>3</v>
      </c>
      <c r="D19" s="7">
        <f t="shared" si="1"/>
        <v>42948.857142857196</v>
      </c>
      <c r="E19" s="10">
        <f t="shared" si="0"/>
        <v>42948.857142857196</v>
      </c>
    </row>
    <row r="20" spans="1:5" ht="18.75" x14ac:dyDescent="0.3">
      <c r="A20" s="22" t="str">
        <f>'Task list'!A20</f>
        <v>Code key binding</v>
      </c>
      <c r="B20" s="7">
        <f t="shared" si="2"/>
        <v>42948.857142857196</v>
      </c>
      <c r="C20" s="11">
        <v>2</v>
      </c>
      <c r="D20" s="7">
        <f t="shared" si="1"/>
        <v>42951.142857142913</v>
      </c>
      <c r="E20" s="10">
        <f t="shared" si="0"/>
        <v>42951.142857142913</v>
      </c>
    </row>
    <row r="21" spans="1:5" ht="18.75" x14ac:dyDescent="0.3">
      <c r="A21" s="12" t="str">
        <f>'Task list'!A21</f>
        <v>Code leading zero error</v>
      </c>
      <c r="B21" s="7">
        <f t="shared" si="2"/>
        <v>42951.142857142913</v>
      </c>
      <c r="C21" s="11">
        <v>2</v>
      </c>
      <c r="D21" s="7">
        <f t="shared" si="1"/>
        <v>42953.428571428631</v>
      </c>
      <c r="E21" s="10">
        <f t="shared" si="0"/>
        <v>42953.428571428631</v>
      </c>
    </row>
    <row r="22" spans="1:5" ht="18.75" x14ac:dyDescent="0.3">
      <c r="A22" s="12" t="str">
        <f>'Task list'!A22</f>
        <v>Code classes</v>
      </c>
      <c r="B22" s="7">
        <f t="shared" si="2"/>
        <v>42953.428571428631</v>
      </c>
      <c r="C22" s="11">
        <v>6</v>
      </c>
      <c r="D22" s="7">
        <f t="shared" si="1"/>
        <v>42959.714285714348</v>
      </c>
      <c r="E22" s="10">
        <f t="shared" si="0"/>
        <v>42959.714285714348</v>
      </c>
    </row>
    <row r="23" spans="1:5" ht="18.75" x14ac:dyDescent="0.3">
      <c r="A23" s="30" t="str">
        <f>'Task list'!A23</f>
        <v>CRITICAL REVIEW 4</v>
      </c>
      <c r="B23" s="7">
        <f t="shared" si="2"/>
        <v>42959.714285714348</v>
      </c>
      <c r="C23" s="39">
        <v>3</v>
      </c>
      <c r="D23" s="7">
        <f t="shared" si="1"/>
        <v>42963.000000000065</v>
      </c>
      <c r="E23" s="10">
        <f t="shared" si="0"/>
        <v>42963.000000000065</v>
      </c>
    </row>
    <row r="24" spans="1:5" ht="18.75" x14ac:dyDescent="0.3">
      <c r="A24" s="12" t="str">
        <f>'Task list'!A24</f>
        <v>Code fonts and colours</v>
      </c>
      <c r="B24" s="7">
        <f t="shared" si="2"/>
        <v>42963.000000000065</v>
      </c>
      <c r="C24" s="39">
        <v>4</v>
      </c>
      <c r="D24" s="7">
        <f t="shared" si="1"/>
        <v>42967.285714285783</v>
      </c>
      <c r="E24" s="10">
        <f t="shared" si="0"/>
        <v>42967.285714285783</v>
      </c>
    </row>
    <row r="25" spans="1:5" ht="18.75" x14ac:dyDescent="0.3">
      <c r="A25" s="12" t="str">
        <f>'Task list'!A25</f>
        <v>Deskchecks</v>
      </c>
      <c r="B25" s="7">
        <f t="shared" si="2"/>
        <v>42967.285714285783</v>
      </c>
      <c r="C25" s="39">
        <v>2</v>
      </c>
      <c r="D25" s="7">
        <f t="shared" si="1"/>
        <v>42969.5714285715</v>
      </c>
      <c r="E25" s="10">
        <f t="shared" si="0"/>
        <v>42969.5714285715</v>
      </c>
    </row>
    <row r="26" spans="1:5" ht="18.75" x14ac:dyDescent="0.3">
      <c r="A26" s="12" t="str">
        <f>'Task list'!A26</f>
        <v>Final check</v>
      </c>
      <c r="B26" s="7">
        <f t="shared" si="2"/>
        <v>42969.5714285715</v>
      </c>
      <c r="C26" s="39">
        <v>1</v>
      </c>
      <c r="D26" s="7">
        <f t="shared" si="1"/>
        <v>42970.857142857218</v>
      </c>
      <c r="E26" s="10">
        <f t="shared" si="0"/>
        <v>42970.857142857218</v>
      </c>
    </row>
    <row r="27" spans="1:5" ht="18.75" x14ac:dyDescent="0.3">
      <c r="A27" s="30" t="str">
        <f>'Task list'!A27</f>
        <v>CRITICAL REVIEW 5</v>
      </c>
      <c r="B27" s="7">
        <f t="shared" si="2"/>
        <v>42970.857142857218</v>
      </c>
      <c r="C27" s="39">
        <v>1</v>
      </c>
      <c r="D27" s="7">
        <f t="shared" si="1"/>
        <v>42972.142857142935</v>
      </c>
      <c r="E27" s="10">
        <f t="shared" si="0"/>
        <v>42972.142857142935</v>
      </c>
    </row>
    <row r="28" spans="1:5" ht="15.75" x14ac:dyDescent="0.25">
      <c r="A28" s="12">
        <f>'Task list'!A28</f>
        <v>0</v>
      </c>
      <c r="B28" s="7">
        <f t="shared" si="2"/>
        <v>42972.142857142935</v>
      </c>
      <c r="C28" s="8"/>
      <c r="D28" s="7">
        <f t="shared" si="1"/>
        <v>42972.428571428653</v>
      </c>
      <c r="E28" s="10">
        <f t="shared" si="0"/>
        <v>42972.428571428653</v>
      </c>
    </row>
    <row r="29" spans="1:5" ht="15.75" x14ac:dyDescent="0.25">
      <c r="A29" s="12">
        <f>'Task list'!A29</f>
        <v>0</v>
      </c>
      <c r="B29" s="7">
        <f t="shared" si="2"/>
        <v>42972.428571428653</v>
      </c>
      <c r="C29" s="8"/>
      <c r="D29" s="7">
        <f t="shared" si="1"/>
        <v>42972.71428571437</v>
      </c>
      <c r="E29" s="10">
        <f t="shared" si="0"/>
        <v>42972.71428571437</v>
      </c>
    </row>
    <row r="30" spans="1:5" ht="15.75" x14ac:dyDescent="0.25">
      <c r="A30" s="12">
        <f>'Task list'!A30</f>
        <v>0</v>
      </c>
      <c r="B30" s="7">
        <f t="shared" si="2"/>
        <v>42972.71428571437</v>
      </c>
      <c r="C30" s="8"/>
      <c r="D30" s="7">
        <f t="shared" si="1"/>
        <v>42973.000000000087</v>
      </c>
      <c r="E30" s="10">
        <f t="shared" si="0"/>
        <v>42973.000000000087</v>
      </c>
    </row>
    <row r="31" spans="1:5" ht="15.75" x14ac:dyDescent="0.25">
      <c r="A31" s="12">
        <f>'Task list'!A31</f>
        <v>0</v>
      </c>
      <c r="B31" s="7">
        <f t="shared" si="2"/>
        <v>42973.000000000087</v>
      </c>
      <c r="C31" s="8"/>
      <c r="D31" s="7">
        <f t="shared" si="1"/>
        <v>42973.285714285805</v>
      </c>
      <c r="E31" s="10">
        <f t="shared" si="0"/>
        <v>42973.285714285805</v>
      </c>
    </row>
    <row r="32" spans="1:5" ht="15.75" x14ac:dyDescent="0.25">
      <c r="A32" s="12">
        <f>'Task list'!A32</f>
        <v>0</v>
      </c>
      <c r="B32" s="7">
        <f t="shared" si="2"/>
        <v>42973.285714285805</v>
      </c>
      <c r="C32" s="8"/>
      <c r="D32" s="7">
        <f t="shared" si="1"/>
        <v>42973.571428571522</v>
      </c>
      <c r="E32" s="10">
        <f t="shared" si="0"/>
        <v>42973.571428571522</v>
      </c>
    </row>
    <row r="33" spans="1:5" ht="15.75" x14ac:dyDescent="0.25">
      <c r="A33" s="12">
        <f>'Task list'!A33</f>
        <v>0</v>
      </c>
      <c r="B33" s="7">
        <f t="shared" si="2"/>
        <v>42973.571428571522</v>
      </c>
      <c r="C33" s="8"/>
      <c r="D33" s="7">
        <f t="shared" si="1"/>
        <v>42973.85714285724</v>
      </c>
      <c r="E33" s="10">
        <f t="shared" si="0"/>
        <v>42973.85714285724</v>
      </c>
    </row>
    <row r="40" spans="1:5" x14ac:dyDescent="0.2">
      <c r="A40" s="3"/>
      <c r="B40" s="3"/>
      <c r="C40" s="3"/>
      <c r="D40" s="3"/>
    </row>
    <row r="41" spans="1:5" x14ac:dyDescent="0.2">
      <c r="B41" s="1"/>
      <c r="D41" s="1"/>
    </row>
    <row r="42" spans="1:5" x14ac:dyDescent="0.2">
      <c r="B42" s="1"/>
      <c r="D42" s="1"/>
    </row>
    <row r="43" spans="1:5" x14ac:dyDescent="0.2">
      <c r="B43" s="1"/>
      <c r="D43" s="1"/>
    </row>
    <row r="44" spans="1:5" x14ac:dyDescent="0.2">
      <c r="B44" s="1"/>
      <c r="D44" s="1"/>
    </row>
    <row r="45" spans="1:5" x14ac:dyDescent="0.2">
      <c r="B45" s="1"/>
      <c r="D45" s="1"/>
    </row>
    <row r="46" spans="1:5" x14ac:dyDescent="0.2">
      <c r="B46" s="1"/>
      <c r="D46" s="1"/>
    </row>
    <row r="47" spans="1:5" x14ac:dyDescent="0.2">
      <c r="B47" s="1"/>
      <c r="D47" s="1"/>
    </row>
    <row r="48" spans="1:5" x14ac:dyDescent="0.2">
      <c r="B48" s="1"/>
      <c r="D48" s="1"/>
    </row>
    <row r="49" spans="2:4" x14ac:dyDescent="0.2">
      <c r="B49" s="1"/>
      <c r="D49" s="1"/>
    </row>
    <row r="50" spans="2:4" x14ac:dyDescent="0.2">
      <c r="B50" s="1"/>
      <c r="D50" s="1"/>
    </row>
    <row r="51" spans="2:4" x14ac:dyDescent="0.2">
      <c r="B51" s="1"/>
      <c r="D51" s="1"/>
    </row>
    <row r="52" spans="2:4" x14ac:dyDescent="0.2">
      <c r="B52" s="1"/>
      <c r="D52" s="1"/>
    </row>
  </sheetData>
  <mergeCells count="1">
    <mergeCell ref="A1:E1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3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D52"/>
  <sheetViews>
    <sheetView showGridLines="0" zoomScale="75" zoomScaleNormal="75" workbookViewId="0">
      <selection activeCell="A21" sqref="A21"/>
    </sheetView>
  </sheetViews>
  <sheetFormatPr defaultRowHeight="12.75" x14ac:dyDescent="0.2"/>
  <cols>
    <col min="1" max="1" width="117.85546875" style="2" bestFit="1" customWidth="1"/>
    <col min="2" max="2" width="13.140625" style="2" customWidth="1"/>
    <col min="3" max="3" width="12.28515625" style="2" bestFit="1" customWidth="1"/>
    <col min="4" max="4" width="10.140625" style="2" bestFit="1" customWidth="1"/>
    <col min="5" max="5" width="20.140625" style="2" bestFit="1" customWidth="1"/>
    <col min="6" max="6" width="9.7109375" style="2" bestFit="1" customWidth="1"/>
    <col min="7" max="16384" width="9.140625" style="2"/>
  </cols>
  <sheetData>
    <row r="1" spans="1:4" ht="21" thickBot="1" x14ac:dyDescent="0.35">
      <c r="A1" s="60" t="s">
        <v>6</v>
      </c>
      <c r="B1" s="60"/>
      <c r="C1" s="60"/>
    </row>
    <row r="2" spans="1:4" ht="18.75" x14ac:dyDescent="0.3">
      <c r="A2" s="4" t="s">
        <v>5</v>
      </c>
      <c r="B2" s="5" t="s">
        <v>0</v>
      </c>
      <c r="C2" s="5" t="s">
        <v>2</v>
      </c>
    </row>
    <row r="3" spans="1:4" ht="15.75" x14ac:dyDescent="0.25">
      <c r="A3" s="22" t="str">
        <f>'Task list'!A3</f>
        <v>Learn GUI from Youtube Videos</v>
      </c>
      <c r="B3" s="7">
        <f>'Main planner sheet'!B3</f>
        <v>42887</v>
      </c>
      <c r="C3" s="9">
        <f>'Main planner sheet'!D3</f>
        <v>42894.285714285717</v>
      </c>
      <c r="D3" s="1" t="s">
        <v>3</v>
      </c>
    </row>
    <row r="4" spans="1:4" ht="15.75" x14ac:dyDescent="0.25">
      <c r="A4" s="22" t="str">
        <f>'Task list'!A4</f>
        <v>Learn GUI from Y13 Manual</v>
      </c>
      <c r="B4" s="7">
        <f>'Main planner sheet'!B4</f>
        <v>42894.285714285717</v>
      </c>
      <c r="C4" s="9">
        <f>'Main planner sheet'!D4</f>
        <v>42903.571428571435</v>
      </c>
      <c r="D4" s="1" t="s">
        <v>3</v>
      </c>
    </row>
    <row r="5" spans="1:4" ht="15.75" x14ac:dyDescent="0.25">
      <c r="A5" s="22" t="str">
        <f>'Task list'!A5</f>
        <v>Research Calculators</v>
      </c>
      <c r="B5" s="7">
        <f>'Main planner sheet'!B5</f>
        <v>42903.571428571435</v>
      </c>
      <c r="C5" s="9">
        <f>'Main planner sheet'!D5</f>
        <v>42905.857142857152</v>
      </c>
      <c r="D5" s="1" t="s">
        <v>3</v>
      </c>
    </row>
    <row r="6" spans="1:4" ht="15.75" x14ac:dyDescent="0.25">
      <c r="A6" s="22" t="str">
        <f>'Task list'!A6</f>
        <v>Brainstorm Ideas</v>
      </c>
      <c r="B6" s="7">
        <f>'Main planner sheet'!B6</f>
        <v>42905.857142857152</v>
      </c>
      <c r="C6" s="9">
        <f>'Main planner sheet'!D6</f>
        <v>42908.14285714287</v>
      </c>
      <c r="D6" s="1" t="s">
        <v>3</v>
      </c>
    </row>
    <row r="7" spans="1:4" ht="15.75" x14ac:dyDescent="0.25">
      <c r="A7" s="22" t="str">
        <f>'Task list'!A7</f>
        <v>Consult client for their aims</v>
      </c>
      <c r="B7" s="7">
        <f>'Main planner sheet'!B7</f>
        <v>42908.14285714287</v>
      </c>
      <c r="C7" s="9">
        <f>'Main planner sheet'!D7</f>
        <v>42909.428571428587</v>
      </c>
    </row>
    <row r="8" spans="1:4" ht="15.75" x14ac:dyDescent="0.25">
      <c r="A8" s="30" t="str">
        <f>'Task list'!A8</f>
        <v>CRITICAL REVIEW 1</v>
      </c>
      <c r="B8" s="7">
        <f>'Main planner sheet'!B8</f>
        <v>42909.428571428587</v>
      </c>
      <c r="C8" s="9">
        <f>'Main planner sheet'!D8</f>
        <v>42912.714285714304</v>
      </c>
    </row>
    <row r="9" spans="1:4" ht="15.75" x14ac:dyDescent="0.25">
      <c r="A9" s="22" t="str">
        <f>'Task list'!A9</f>
        <v>Algorithm for buttons</v>
      </c>
      <c r="B9" s="7">
        <f>'Main planner sheet'!B9</f>
        <v>42912.714285714304</v>
      </c>
      <c r="C9" s="9">
        <f>'Main planner sheet'!D9</f>
        <v>42915.000000000022</v>
      </c>
    </row>
    <row r="10" spans="1:4" ht="15.75" x14ac:dyDescent="0.25">
      <c r="A10" s="22" t="str">
        <f>'Task list'!A10</f>
        <v>Code buttons and entry widget</v>
      </c>
      <c r="B10" s="7">
        <f>'Main planner sheet'!B10</f>
        <v>42915.000000000022</v>
      </c>
      <c r="C10" s="9">
        <f>'Main planner sheet'!D10</f>
        <v>42918.285714285739</v>
      </c>
    </row>
    <row r="11" spans="1:4" ht="15.75" x14ac:dyDescent="0.25">
      <c r="A11" s="22" t="str">
        <f>'Task list'!A11</f>
        <v>Algorithm for updating text/answer</v>
      </c>
      <c r="B11" s="7">
        <f>'Main planner sheet'!B11</f>
        <v>42918.285714285739</v>
      </c>
      <c r="C11" s="9">
        <f>'Main planner sheet'!D11</f>
        <v>42919.571428571457</v>
      </c>
    </row>
    <row r="12" spans="1:4" ht="15.75" x14ac:dyDescent="0.25">
      <c r="A12" s="22" t="str">
        <f>'Task list'!A12</f>
        <v>Code updating text/answer</v>
      </c>
      <c r="B12" s="7">
        <f>'Main planner sheet'!B12</f>
        <v>42919.571428571457</v>
      </c>
      <c r="C12" s="9">
        <f>'Main planner sheet'!D12</f>
        <v>42923.857142857174</v>
      </c>
    </row>
    <row r="13" spans="1:4" ht="15.75" x14ac:dyDescent="0.25">
      <c r="A13" s="30" t="str">
        <f>'Task list'!A13</f>
        <v>CRITICAL REVIEW 2</v>
      </c>
      <c r="B13" s="7">
        <f>'Main planner sheet'!B13</f>
        <v>42923.857142857174</v>
      </c>
      <c r="C13" s="9">
        <f>'Main planner sheet'!D13</f>
        <v>42927.142857142891</v>
      </c>
    </row>
    <row r="14" spans="1:4" ht="15.75" x14ac:dyDescent="0.25">
      <c r="A14" s="22" t="str">
        <f>'Task list'!A14</f>
        <v>Algorithm for delete number</v>
      </c>
      <c r="B14" s="7">
        <f>'Main planner sheet'!B14</f>
        <v>42927.142857142891</v>
      </c>
      <c r="C14" s="9">
        <f>'Main planner sheet'!D14</f>
        <v>42929.428571428609</v>
      </c>
    </row>
    <row r="15" spans="1:4" ht="15.75" x14ac:dyDescent="0.25">
      <c r="A15" s="22" t="str">
        <f>'Task list'!A15</f>
        <v>Algorithm for cancel number</v>
      </c>
      <c r="B15" s="7">
        <f>'Main planner sheet'!B15</f>
        <v>42929.428571428609</v>
      </c>
      <c r="C15" s="9">
        <f>'Main planner sheet'!D15</f>
        <v>42931.714285714326</v>
      </c>
    </row>
    <row r="16" spans="1:4" ht="15.75" x14ac:dyDescent="0.25">
      <c r="A16" s="22" t="str">
        <f>'Task list'!A16</f>
        <v>Code delete and cancel number</v>
      </c>
      <c r="B16" s="7">
        <f>'Main planner sheet'!B16</f>
        <v>42931.714285714326</v>
      </c>
      <c r="C16" s="9">
        <f>'Main planner sheet'!D16</f>
        <v>42936.000000000044</v>
      </c>
    </row>
    <row r="17" spans="1:3" ht="15.75" x14ac:dyDescent="0.25">
      <c r="A17" s="22" t="str">
        <f>'Task list'!A17</f>
        <v>Code exit calculators and errors</v>
      </c>
      <c r="B17" s="7">
        <f>'Main planner sheet'!B17</f>
        <v>42936.000000000044</v>
      </c>
      <c r="C17" s="9">
        <f>'Main planner sheet'!D17</f>
        <v>42941.285714285761</v>
      </c>
    </row>
    <row r="18" spans="1:3" ht="15.75" x14ac:dyDescent="0.25">
      <c r="A18" s="30" t="str">
        <f>'Task list'!A18</f>
        <v>CRITICAL REVIEW 3</v>
      </c>
      <c r="B18" s="7">
        <f>'Main planner sheet'!B18</f>
        <v>42941.285714285761</v>
      </c>
      <c r="C18" s="9">
        <f>'Main planner sheet'!D18</f>
        <v>42945.571428571478</v>
      </c>
    </row>
    <row r="19" spans="1:3" ht="15.75" x14ac:dyDescent="0.25">
      <c r="A19" s="22" t="str">
        <f>'Task list'!A19</f>
        <v>Code status bar</v>
      </c>
      <c r="B19" s="7">
        <f>'Main planner sheet'!B19</f>
        <v>42945.571428571478</v>
      </c>
      <c r="C19" s="9">
        <f>'Main planner sheet'!D19</f>
        <v>42948.857142857196</v>
      </c>
    </row>
    <row r="20" spans="1:3" ht="15.75" x14ac:dyDescent="0.25">
      <c r="A20" s="22" t="str">
        <f>'Task list'!A20</f>
        <v>Code key binding</v>
      </c>
      <c r="B20" s="7">
        <f>'Main planner sheet'!B20</f>
        <v>42948.857142857196</v>
      </c>
      <c r="C20" s="9">
        <f>'Main planner sheet'!D20</f>
        <v>42951.142857142913</v>
      </c>
    </row>
    <row r="21" spans="1:3" ht="15.75" x14ac:dyDescent="0.25">
      <c r="A21" s="12" t="str">
        <f>'Task list'!A21</f>
        <v>Code leading zero error</v>
      </c>
      <c r="B21" s="7">
        <f>'Main planner sheet'!B21</f>
        <v>42951.142857142913</v>
      </c>
      <c r="C21" s="9">
        <f>'Main planner sheet'!D21</f>
        <v>42953.428571428631</v>
      </c>
    </row>
    <row r="22" spans="1:3" ht="15.75" x14ac:dyDescent="0.25">
      <c r="A22" s="12" t="str">
        <f>'Task list'!A22</f>
        <v>Code classes</v>
      </c>
      <c r="B22" s="7">
        <f>'Main planner sheet'!B22</f>
        <v>42953.428571428631</v>
      </c>
      <c r="C22" s="9">
        <f>'Main planner sheet'!D22</f>
        <v>42959.714285714348</v>
      </c>
    </row>
    <row r="23" spans="1:3" ht="15.75" x14ac:dyDescent="0.25">
      <c r="A23" s="30" t="str">
        <f>'Task list'!A23</f>
        <v>CRITICAL REVIEW 4</v>
      </c>
      <c r="B23" s="7">
        <f>'Main planner sheet'!B23</f>
        <v>42959.714285714348</v>
      </c>
      <c r="C23" s="9">
        <f>'Main planner sheet'!D23</f>
        <v>42963.000000000065</v>
      </c>
    </row>
    <row r="24" spans="1:3" ht="15.75" x14ac:dyDescent="0.25">
      <c r="A24" s="12" t="str">
        <f>'Task list'!A24</f>
        <v>Code fonts and colours</v>
      </c>
      <c r="B24" s="7">
        <f>'Main planner sheet'!B24</f>
        <v>42963.000000000065</v>
      </c>
      <c r="C24" s="9">
        <f>'Main planner sheet'!D24</f>
        <v>42967.285714285783</v>
      </c>
    </row>
    <row r="25" spans="1:3" ht="15.75" x14ac:dyDescent="0.25">
      <c r="A25" s="12" t="str">
        <f>'Task list'!A25</f>
        <v>Deskchecks</v>
      </c>
      <c r="B25" s="7">
        <f>'Main planner sheet'!B25</f>
        <v>42967.285714285783</v>
      </c>
      <c r="C25" s="9">
        <f>'Main planner sheet'!D25</f>
        <v>42969.5714285715</v>
      </c>
    </row>
    <row r="26" spans="1:3" ht="15.75" x14ac:dyDescent="0.25">
      <c r="A26" s="12" t="str">
        <f>'Task list'!A26</f>
        <v>Final check</v>
      </c>
      <c r="B26" s="7">
        <f>'Main planner sheet'!B26</f>
        <v>42969.5714285715</v>
      </c>
      <c r="C26" s="9">
        <f>'Main planner sheet'!D26</f>
        <v>42970.857142857218</v>
      </c>
    </row>
    <row r="27" spans="1:3" ht="15.75" x14ac:dyDescent="0.25">
      <c r="A27" s="30" t="str">
        <f>'Task list'!A27</f>
        <v>CRITICAL REVIEW 5</v>
      </c>
      <c r="B27" s="7">
        <f>'Main planner sheet'!B27</f>
        <v>42970.857142857218</v>
      </c>
      <c r="C27" s="9">
        <f>'Main planner sheet'!D27</f>
        <v>42972.142857142935</v>
      </c>
    </row>
    <row r="28" spans="1:3" ht="15.75" x14ac:dyDescent="0.25">
      <c r="A28" s="12">
        <f>'Task list'!A28</f>
        <v>0</v>
      </c>
      <c r="B28" s="7">
        <f>'Main planner sheet'!B28</f>
        <v>42972.142857142935</v>
      </c>
      <c r="C28" s="9">
        <f>'Main planner sheet'!D28</f>
        <v>42972.428571428653</v>
      </c>
    </row>
    <row r="29" spans="1:3" ht="15.75" x14ac:dyDescent="0.25">
      <c r="A29" s="12">
        <f>'Task list'!A29</f>
        <v>0</v>
      </c>
      <c r="B29" s="7">
        <f>'Main planner sheet'!B29</f>
        <v>42972.428571428653</v>
      </c>
      <c r="C29" s="9">
        <f>'Main planner sheet'!D29</f>
        <v>42972.71428571437</v>
      </c>
    </row>
    <row r="30" spans="1:3" ht="15.75" x14ac:dyDescent="0.25">
      <c r="A30" s="12">
        <f>'Task list'!A30</f>
        <v>0</v>
      </c>
      <c r="B30" s="7">
        <f>'Main planner sheet'!B30</f>
        <v>42972.71428571437</v>
      </c>
      <c r="C30" s="9">
        <f>'Main planner sheet'!D30</f>
        <v>42973.000000000087</v>
      </c>
    </row>
    <row r="31" spans="1:3" ht="15.75" x14ac:dyDescent="0.25">
      <c r="A31" s="12">
        <f>'Task list'!A31</f>
        <v>0</v>
      </c>
      <c r="B31" s="7">
        <f>'Main planner sheet'!B31</f>
        <v>42973.000000000087</v>
      </c>
      <c r="C31" s="9">
        <f>'Main planner sheet'!D31</f>
        <v>42973.285714285805</v>
      </c>
    </row>
    <row r="32" spans="1:3" ht="15.75" x14ac:dyDescent="0.25">
      <c r="A32" s="12">
        <f>'Task list'!A32</f>
        <v>0</v>
      </c>
      <c r="B32" s="7">
        <f>'Main planner sheet'!B32</f>
        <v>42973.285714285805</v>
      </c>
      <c r="C32" s="9">
        <f>'Main planner sheet'!D32</f>
        <v>42973.571428571522</v>
      </c>
    </row>
    <row r="33" spans="1:3" ht="15.75" x14ac:dyDescent="0.25">
      <c r="A33" s="12">
        <f>'Task list'!A33</f>
        <v>0</v>
      </c>
      <c r="B33" s="7">
        <f>'Main planner sheet'!B33</f>
        <v>42973.571428571522</v>
      </c>
      <c r="C33" s="9">
        <f>'Main planner sheet'!D33</f>
        <v>42973.85714285724</v>
      </c>
    </row>
    <row r="40" spans="1:3" x14ac:dyDescent="0.2">
      <c r="A40" s="3"/>
      <c r="B40" s="3"/>
      <c r="C40" s="3"/>
    </row>
    <row r="41" spans="1:3" x14ac:dyDescent="0.2">
      <c r="B41" s="1"/>
      <c r="C41" s="1"/>
    </row>
    <row r="42" spans="1:3" x14ac:dyDescent="0.2">
      <c r="B42" s="1"/>
      <c r="C42" s="1"/>
    </row>
    <row r="43" spans="1:3" x14ac:dyDescent="0.2">
      <c r="B43" s="1"/>
      <c r="C43" s="1"/>
    </row>
    <row r="44" spans="1:3" x14ac:dyDescent="0.2">
      <c r="B44" s="1"/>
      <c r="C44" s="1"/>
    </row>
    <row r="45" spans="1:3" x14ac:dyDescent="0.2">
      <c r="B45" s="1"/>
      <c r="C45" s="1"/>
    </row>
    <row r="46" spans="1:3" x14ac:dyDescent="0.2">
      <c r="B46" s="1"/>
      <c r="C46" s="1"/>
    </row>
    <row r="47" spans="1:3" x14ac:dyDescent="0.2">
      <c r="B47" s="1"/>
      <c r="C47" s="1"/>
    </row>
    <row r="48" spans="1:3" x14ac:dyDescent="0.2">
      <c r="B48" s="1"/>
      <c r="C48" s="1"/>
    </row>
    <row r="49" spans="2:3" x14ac:dyDescent="0.2">
      <c r="B49" s="1"/>
      <c r="C49" s="1"/>
    </row>
    <row r="50" spans="2:3" x14ac:dyDescent="0.2">
      <c r="B50" s="1"/>
      <c r="C50" s="1"/>
    </row>
    <row r="51" spans="2:3" x14ac:dyDescent="0.2">
      <c r="B51" s="1"/>
      <c r="C51" s="1"/>
    </row>
    <row r="52" spans="2:3" x14ac:dyDescent="0.2">
      <c r="B52" s="1"/>
      <c r="C52" s="1"/>
    </row>
  </sheetData>
  <mergeCells count="1">
    <mergeCell ref="A1:C1"/>
  </mergeCells>
  <pageMargins left="0.74803149606299213" right="0.74803149606299213" top="0.98425196850393704" bottom="0.98425196850393704" header="0.51181102362204722" footer="0.51181102362204722"/>
  <pageSetup paperSize="9" scale="86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36"/>
  <sheetViews>
    <sheetView tabSelected="1" zoomScale="60" zoomScaleNormal="60" workbookViewId="0">
      <selection activeCell="V32" sqref="V32"/>
    </sheetView>
  </sheetViews>
  <sheetFormatPr defaultRowHeight="12.75" x14ac:dyDescent="0.2"/>
  <cols>
    <col min="4" max="4" width="9.140625" customWidth="1"/>
    <col min="5" max="5" width="6.28515625" customWidth="1"/>
    <col min="6" max="6" width="6.28515625" bestFit="1" customWidth="1"/>
    <col min="7" max="7" width="6.140625" bestFit="1" customWidth="1"/>
    <col min="8" max="11" width="7" bestFit="1" customWidth="1"/>
    <col min="12" max="12" width="7.5703125" bestFit="1" customWidth="1"/>
    <col min="13" max="13" width="7.28515625" bestFit="1" customWidth="1"/>
    <col min="14" max="14" width="7.5703125" bestFit="1" customWidth="1"/>
    <col min="15" max="15" width="5.42578125" bestFit="1" customWidth="1"/>
    <col min="16" max="16" width="5.85546875" bestFit="1" customWidth="1"/>
    <col min="17" max="17" width="5.5703125" bestFit="1" customWidth="1"/>
    <col min="18" max="21" width="6.5703125" bestFit="1" customWidth="1"/>
    <col min="22" max="22" width="7" bestFit="1" customWidth="1"/>
    <col min="23" max="23" width="6.85546875" bestFit="1" customWidth="1"/>
    <col min="24" max="24" width="7" bestFit="1" customWidth="1"/>
    <col min="25" max="25" width="6.5703125" bestFit="1" customWidth="1"/>
    <col min="26" max="28" width="7" bestFit="1" customWidth="1"/>
    <col min="29" max="29" width="7.7109375" bestFit="1" customWidth="1"/>
    <col min="30" max="30" width="7.5703125" bestFit="1" customWidth="1"/>
    <col min="31" max="32" width="7.7109375" bestFit="1" customWidth="1"/>
    <col min="33" max="33" width="8.28515625" bestFit="1" customWidth="1"/>
    <col min="34" max="34" width="8" bestFit="1" customWidth="1"/>
  </cols>
  <sheetData>
    <row r="1" spans="1:34" x14ac:dyDescent="0.2">
      <c r="A1" s="37"/>
    </row>
    <row r="2" spans="1:34" ht="15" customHeight="1" x14ac:dyDescent="0.2">
      <c r="A2" s="63"/>
      <c r="B2" s="64"/>
      <c r="C2" s="64"/>
      <c r="D2" s="65"/>
      <c r="E2" s="41">
        <v>42887</v>
      </c>
      <c r="F2" s="41">
        <v>42890</v>
      </c>
      <c r="G2" s="41">
        <v>42893</v>
      </c>
      <c r="H2" s="41">
        <v>42896</v>
      </c>
      <c r="I2" s="41">
        <v>42899</v>
      </c>
      <c r="J2" s="41">
        <v>42902</v>
      </c>
      <c r="K2" s="41">
        <v>42905</v>
      </c>
      <c r="L2" s="41">
        <v>42908</v>
      </c>
      <c r="M2" s="41">
        <v>42911</v>
      </c>
      <c r="N2" s="41">
        <v>42914</v>
      </c>
      <c r="O2" s="41">
        <v>42917</v>
      </c>
      <c r="P2" s="41">
        <v>42920</v>
      </c>
      <c r="Q2" s="41">
        <v>42923</v>
      </c>
      <c r="R2" s="41">
        <v>42926</v>
      </c>
      <c r="S2" s="41">
        <v>42929</v>
      </c>
      <c r="T2" s="41">
        <v>42932</v>
      </c>
      <c r="U2" s="41">
        <v>42935</v>
      </c>
      <c r="V2" s="41">
        <v>42938</v>
      </c>
      <c r="W2" s="41">
        <v>42941</v>
      </c>
      <c r="X2" s="41">
        <v>42944</v>
      </c>
      <c r="Y2" s="41">
        <v>42947</v>
      </c>
      <c r="Z2" s="41">
        <v>42950</v>
      </c>
      <c r="AA2" s="41">
        <v>42953</v>
      </c>
      <c r="AB2" s="41">
        <v>42956</v>
      </c>
      <c r="AC2" s="41">
        <v>42959</v>
      </c>
      <c r="AD2" s="41">
        <v>42962</v>
      </c>
      <c r="AE2" s="41">
        <v>42965</v>
      </c>
      <c r="AF2" s="41">
        <v>42968</v>
      </c>
      <c r="AG2" s="41">
        <v>42971</v>
      </c>
      <c r="AH2" s="55">
        <v>42974</v>
      </c>
    </row>
    <row r="3" spans="1:34" ht="15" customHeight="1" x14ac:dyDescent="0.2">
      <c r="A3" s="61" t="str">
        <f>'Task list'!A3</f>
        <v>Learn GUI from Youtube Videos</v>
      </c>
      <c r="B3" s="61"/>
      <c r="C3" s="61"/>
      <c r="D3" s="61"/>
      <c r="E3" s="42"/>
      <c r="F3" s="42"/>
      <c r="G3" s="42"/>
      <c r="H3" s="42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</row>
    <row r="4" spans="1:34" ht="15" customHeight="1" x14ac:dyDescent="0.2">
      <c r="A4" s="61" t="str">
        <f>'Task list'!A4</f>
        <v>Learn GUI from Y13 Manual</v>
      </c>
      <c r="B4" s="61"/>
      <c r="C4" s="61"/>
      <c r="D4" s="61"/>
      <c r="E4" s="40"/>
      <c r="F4" s="40"/>
      <c r="G4" s="40"/>
      <c r="H4" s="42"/>
      <c r="I4" s="42"/>
      <c r="J4" s="42"/>
      <c r="K4" s="42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</row>
    <row r="5" spans="1:34" ht="15" customHeight="1" x14ac:dyDescent="0.2">
      <c r="A5" s="61" t="str">
        <f>'Task list'!A5</f>
        <v>Research Calculators</v>
      </c>
      <c r="B5" s="61"/>
      <c r="C5" s="61"/>
      <c r="D5" s="61"/>
      <c r="E5" s="40"/>
      <c r="F5" s="40"/>
      <c r="G5" s="40"/>
      <c r="H5" s="40"/>
      <c r="I5" s="40"/>
      <c r="J5" s="40"/>
      <c r="K5" s="42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</row>
    <row r="6" spans="1:34" ht="15" customHeight="1" x14ac:dyDescent="0.2">
      <c r="A6" s="61" t="str">
        <f>'Task list'!A6</f>
        <v>Brainstorm Ideas</v>
      </c>
      <c r="B6" s="61"/>
      <c r="C6" s="61"/>
      <c r="D6" s="61"/>
      <c r="E6" s="40"/>
      <c r="F6" s="40"/>
      <c r="G6" s="40"/>
      <c r="H6" s="40"/>
      <c r="I6" s="40"/>
      <c r="J6" s="40"/>
      <c r="K6" s="42"/>
      <c r="L6" s="42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</row>
    <row r="7" spans="1:34" ht="15" customHeight="1" x14ac:dyDescent="0.2">
      <c r="A7" s="61" t="str">
        <f>'Task list'!A7</f>
        <v>Consult client for their aims</v>
      </c>
      <c r="B7" s="61"/>
      <c r="C7" s="61"/>
      <c r="D7" s="61"/>
      <c r="E7" s="40"/>
      <c r="F7" s="40"/>
      <c r="G7" s="40"/>
      <c r="H7" s="40"/>
      <c r="I7" s="40"/>
      <c r="J7" s="40"/>
      <c r="K7" s="40"/>
      <c r="L7" s="42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</row>
    <row r="8" spans="1:34" ht="15" customHeight="1" x14ac:dyDescent="0.2">
      <c r="A8" s="61" t="str">
        <f>'Task list'!A8</f>
        <v>CRITICAL REVIEW 1</v>
      </c>
      <c r="B8" s="61"/>
      <c r="C8" s="61"/>
      <c r="D8" s="61"/>
      <c r="E8" s="40"/>
      <c r="F8" s="40"/>
      <c r="G8" s="40"/>
      <c r="H8" s="40"/>
      <c r="I8" s="40"/>
      <c r="J8" s="40"/>
      <c r="K8" s="40"/>
      <c r="L8" s="46"/>
      <c r="M8" s="46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</row>
    <row r="9" spans="1:34" ht="15" customHeight="1" x14ac:dyDescent="0.2">
      <c r="A9" s="61" t="str">
        <f>'Task list'!A9</f>
        <v>Algorithm for buttons</v>
      </c>
      <c r="B9" s="61"/>
      <c r="C9" s="61"/>
      <c r="D9" s="61"/>
      <c r="E9" s="40"/>
      <c r="F9" s="40"/>
      <c r="G9" s="40"/>
      <c r="H9" s="40"/>
      <c r="I9" s="40"/>
      <c r="J9" s="40"/>
      <c r="K9" s="40"/>
      <c r="L9" s="40"/>
      <c r="M9" s="40"/>
      <c r="N9" s="45"/>
      <c r="O9" s="45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</row>
    <row r="10" spans="1:34" ht="15" customHeight="1" x14ac:dyDescent="0.2">
      <c r="A10" s="61" t="str">
        <f>'Task list'!A10</f>
        <v>Code buttons and entry widget</v>
      </c>
      <c r="B10" s="61"/>
      <c r="C10" s="61"/>
      <c r="D10" s="61"/>
      <c r="E10" s="40"/>
      <c r="F10" s="40"/>
      <c r="G10" s="40"/>
      <c r="H10" s="40"/>
      <c r="I10" s="40"/>
      <c r="J10" s="40"/>
      <c r="K10" s="40"/>
      <c r="L10" s="40"/>
      <c r="M10" s="40"/>
      <c r="N10" s="44"/>
      <c r="O10" s="43"/>
      <c r="P10" s="43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</row>
    <row r="11" spans="1:34" ht="15" customHeight="1" x14ac:dyDescent="0.2">
      <c r="A11" s="61" t="str">
        <f>'Task list'!A11</f>
        <v>Algorithm for updating text/answer</v>
      </c>
      <c r="B11" s="61"/>
      <c r="C11" s="61"/>
      <c r="D11" s="61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5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</row>
    <row r="12" spans="1:34" ht="15" customHeight="1" x14ac:dyDescent="0.2">
      <c r="A12" s="61" t="str">
        <f>'Task list'!A12</f>
        <v>Code updating text/answer</v>
      </c>
      <c r="B12" s="61"/>
      <c r="C12" s="61"/>
      <c r="D12" s="61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3"/>
      <c r="Q12" s="43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</row>
    <row r="13" spans="1:34" ht="15" customHeight="1" x14ac:dyDescent="0.2">
      <c r="A13" s="61" t="str">
        <f>'Task list'!A13</f>
        <v>CRITICAL REVIEW 2</v>
      </c>
      <c r="B13" s="61"/>
      <c r="C13" s="61"/>
      <c r="D13" s="61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6"/>
      <c r="R13" s="46"/>
      <c r="S13" s="46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</row>
    <row r="14" spans="1:34" ht="15" customHeight="1" x14ac:dyDescent="0.2">
      <c r="A14" s="61" t="str">
        <f>'Task list'!A14</f>
        <v>Algorithm for delete number</v>
      </c>
      <c r="B14" s="61"/>
      <c r="C14" s="61"/>
      <c r="D14" s="61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5"/>
      <c r="S14" s="45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</row>
    <row r="15" spans="1:34" ht="15" customHeight="1" x14ac:dyDescent="0.2">
      <c r="A15" s="61" t="str">
        <f>'Task list'!A15</f>
        <v>Algorithm for cancel number</v>
      </c>
      <c r="B15" s="61"/>
      <c r="C15" s="61"/>
      <c r="D15" s="61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5"/>
      <c r="T15" s="45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</row>
    <row r="16" spans="1:34" ht="15" customHeight="1" x14ac:dyDescent="0.2">
      <c r="A16" s="61" t="str">
        <f>'Task list'!A16</f>
        <v>Code delete and cancel number</v>
      </c>
      <c r="B16" s="61"/>
      <c r="C16" s="61"/>
      <c r="D16" s="61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3"/>
      <c r="U16" s="43"/>
      <c r="V16" s="43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</row>
    <row r="17" spans="1:34" ht="15" customHeight="1" x14ac:dyDescent="0.2">
      <c r="A17" s="61" t="str">
        <f>'Task list'!A17</f>
        <v>Code exit calculators and errors</v>
      </c>
      <c r="B17" s="61"/>
      <c r="C17" s="61"/>
      <c r="D17" s="61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3"/>
      <c r="V17" s="43"/>
      <c r="W17" s="43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</row>
    <row r="18" spans="1:34" ht="15" customHeight="1" x14ac:dyDescent="0.2">
      <c r="A18" s="61" t="str">
        <f>'Task list'!A18</f>
        <v>CRITICAL REVIEW 3</v>
      </c>
      <c r="B18" s="61"/>
      <c r="C18" s="61"/>
      <c r="D18" s="61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6"/>
      <c r="X18" s="46"/>
      <c r="Y18" s="40"/>
      <c r="Z18" s="40"/>
      <c r="AA18" s="40"/>
      <c r="AB18" s="40"/>
      <c r="AC18" s="40"/>
      <c r="AD18" s="40"/>
      <c r="AE18" s="40"/>
      <c r="AF18" s="40"/>
      <c r="AG18" s="40"/>
      <c r="AH18" s="40"/>
    </row>
    <row r="19" spans="1:34" ht="15" customHeight="1" x14ac:dyDescent="0.2">
      <c r="A19" s="61" t="str">
        <f>'Task list'!A19</f>
        <v>Code status bar</v>
      </c>
      <c r="B19" s="61"/>
      <c r="C19" s="61"/>
      <c r="D19" s="61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3"/>
      <c r="Y19" s="43"/>
      <c r="Z19" s="40"/>
      <c r="AA19" s="40"/>
      <c r="AB19" s="40"/>
      <c r="AC19" s="40"/>
      <c r="AD19" s="40"/>
      <c r="AE19" s="40"/>
      <c r="AF19" s="40"/>
      <c r="AG19" s="40"/>
      <c r="AH19" s="40"/>
    </row>
    <row r="20" spans="1:34" ht="15" customHeight="1" x14ac:dyDescent="0.2">
      <c r="A20" s="61" t="str">
        <f>'Task list'!A20</f>
        <v>Code key binding</v>
      </c>
      <c r="B20" s="61"/>
      <c r="C20" s="61"/>
      <c r="D20" s="61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3"/>
      <c r="Z20" s="43"/>
      <c r="AA20" s="40"/>
      <c r="AB20" s="40"/>
      <c r="AC20" s="40"/>
      <c r="AD20" s="40"/>
      <c r="AE20" s="40"/>
      <c r="AF20" s="40"/>
      <c r="AG20" s="40"/>
      <c r="AH20" s="40"/>
    </row>
    <row r="21" spans="1:34" ht="15" customHeight="1" x14ac:dyDescent="0.2">
      <c r="A21" s="61" t="str">
        <f>'Task list'!A21</f>
        <v>Code leading zero error</v>
      </c>
      <c r="B21" s="61"/>
      <c r="C21" s="61"/>
      <c r="D21" s="61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3"/>
      <c r="AA21" s="43"/>
      <c r="AB21" s="40"/>
      <c r="AC21" s="40"/>
      <c r="AD21" s="40"/>
      <c r="AE21" s="40"/>
      <c r="AF21" s="40"/>
      <c r="AG21" s="40"/>
      <c r="AH21" s="40"/>
    </row>
    <row r="22" spans="1:34" ht="15" customHeight="1" x14ac:dyDescent="0.2">
      <c r="A22" s="61" t="str">
        <f>'Task list'!A22</f>
        <v>Code classes</v>
      </c>
      <c r="B22" s="61"/>
      <c r="C22" s="61"/>
      <c r="D22" s="61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3"/>
      <c r="AB22" s="43"/>
      <c r="AC22" s="43"/>
      <c r="AD22" s="40"/>
      <c r="AE22" s="40"/>
      <c r="AF22" s="40"/>
      <c r="AG22" s="40"/>
      <c r="AH22" s="40"/>
    </row>
    <row r="23" spans="1:34" ht="15" customHeight="1" x14ac:dyDescent="0.2">
      <c r="A23" s="66" t="str">
        <f>'Task list'!A23</f>
        <v>CRITICAL REVIEW 4</v>
      </c>
      <c r="B23" s="66"/>
      <c r="C23" s="66"/>
      <c r="D23" s="66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6"/>
      <c r="AD23" s="46"/>
      <c r="AE23" s="46"/>
      <c r="AF23" s="40"/>
      <c r="AG23" s="40"/>
      <c r="AH23" s="40"/>
    </row>
    <row r="24" spans="1:34" ht="15" x14ac:dyDescent="0.25">
      <c r="A24" s="12" t="str">
        <f>'Task list'!A24</f>
        <v>Code fonts and colours</v>
      </c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3"/>
      <c r="AF24" s="43"/>
      <c r="AG24" s="43"/>
      <c r="AH24" s="40"/>
    </row>
    <row r="25" spans="1:34" ht="15" x14ac:dyDescent="0.25">
      <c r="A25" s="62" t="s">
        <v>58</v>
      </c>
      <c r="B25" s="62"/>
      <c r="C25" s="62"/>
      <c r="D25" s="62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4"/>
      <c r="AF25" s="44"/>
      <c r="AG25" s="45"/>
      <c r="AH25" s="40"/>
    </row>
    <row r="26" spans="1:34" ht="15" x14ac:dyDescent="0.25">
      <c r="A26" s="62" t="s">
        <v>56</v>
      </c>
      <c r="B26" s="62"/>
      <c r="C26" s="62"/>
      <c r="D26" s="62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4"/>
      <c r="AF26" s="44"/>
      <c r="AG26" s="56"/>
      <c r="AH26" s="40"/>
    </row>
    <row r="27" spans="1:34" ht="15" x14ac:dyDescent="0.25">
      <c r="A27" s="62" t="s">
        <v>57</v>
      </c>
      <c r="B27" s="62"/>
      <c r="C27" s="62"/>
      <c r="D27" s="62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4"/>
      <c r="AF27" s="44"/>
      <c r="AG27" s="44"/>
      <c r="AH27" s="46"/>
    </row>
    <row r="29" spans="1:34" x14ac:dyDescent="0.2">
      <c r="A29" s="51" t="s">
        <v>50</v>
      </c>
    </row>
    <row r="30" spans="1:34" x14ac:dyDescent="0.2">
      <c r="A30" s="47"/>
      <c r="B30" s="38" t="s">
        <v>51</v>
      </c>
    </row>
    <row r="31" spans="1:34" x14ac:dyDescent="0.2">
      <c r="A31" s="48"/>
      <c r="B31" s="38" t="s">
        <v>52</v>
      </c>
      <c r="E31" s="38" t="s">
        <v>60</v>
      </c>
    </row>
    <row r="32" spans="1:34" x14ac:dyDescent="0.2">
      <c r="A32" s="49"/>
      <c r="B32" s="38" t="s">
        <v>53</v>
      </c>
      <c r="E32" t="s">
        <v>61</v>
      </c>
    </row>
    <row r="33" spans="1:2" x14ac:dyDescent="0.2">
      <c r="A33" s="50"/>
      <c r="B33" s="38" t="s">
        <v>54</v>
      </c>
    </row>
    <row r="34" spans="1:2" x14ac:dyDescent="0.2">
      <c r="A34" s="57"/>
      <c r="B34" s="38" t="s">
        <v>59</v>
      </c>
    </row>
    <row r="36" spans="1:2" x14ac:dyDescent="0.2">
      <c r="A36" s="38"/>
    </row>
  </sheetData>
  <mergeCells count="25">
    <mergeCell ref="A25:D25"/>
    <mergeCell ref="A26:D26"/>
    <mergeCell ref="A27:D27"/>
    <mergeCell ref="A2:D2"/>
    <mergeCell ref="A22:D22"/>
    <mergeCell ref="A23:D23"/>
    <mergeCell ref="A16:D16"/>
    <mergeCell ref="A17:D17"/>
    <mergeCell ref="A18:D18"/>
    <mergeCell ref="A19:D19"/>
    <mergeCell ref="A20:D20"/>
    <mergeCell ref="A21:D21"/>
    <mergeCell ref="A15:D15"/>
    <mergeCell ref="A3:D3"/>
    <mergeCell ref="A4:D4"/>
    <mergeCell ref="A5:D5"/>
    <mergeCell ref="A11:D11"/>
    <mergeCell ref="A12:D12"/>
    <mergeCell ref="A13:D13"/>
    <mergeCell ref="A14:D14"/>
    <mergeCell ref="A6:D6"/>
    <mergeCell ref="A7:D7"/>
    <mergeCell ref="A8:D8"/>
    <mergeCell ref="A9:D9"/>
    <mergeCell ref="A10:D10"/>
  </mergeCells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Task list</vt:lpstr>
      <vt:lpstr>Main planner sheet</vt:lpstr>
      <vt:lpstr>Action Plan</vt:lpstr>
      <vt:lpstr>GanttChart2</vt:lpstr>
      <vt:lpstr>Gantt Chart</vt:lpstr>
    </vt:vector>
  </TitlesOfParts>
  <Company>JWalk and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Walkenbach</dc:creator>
  <cp:lastModifiedBy>Connor Welham</cp:lastModifiedBy>
  <cp:lastPrinted>2017-08-27T23:44:42Z</cp:lastPrinted>
  <dcterms:created xsi:type="dcterms:W3CDTF">1996-11-11T15:43:27Z</dcterms:created>
  <dcterms:modified xsi:type="dcterms:W3CDTF">2017-08-28T00:06:55Z</dcterms:modified>
</cp:coreProperties>
</file>